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4"/>
  <fileSharing readOnlyRecommended="1"/>
  <workbookPr/>
  <mc:AlternateContent xmlns:mc="http://schemas.openxmlformats.org/markup-compatibility/2006">
    <mc:Choice Requires="x15">
      <x15ac:absPath xmlns:x15ac="http://schemas.microsoft.com/office/spreadsheetml/2010/11/ac" url="/Users/raj/Desktop/"/>
    </mc:Choice>
  </mc:AlternateContent>
  <xr:revisionPtr revIDLastSave="0" documentId="8_{CC257B76-7B65-1D41-8C53-8911534EB0B3}" xr6:coauthVersionLast="47" xr6:coauthVersionMax="47" xr10:uidLastSave="{00000000-0000-0000-0000-000000000000}"/>
  <bookViews>
    <workbookView xWindow="0" yWindow="740" windowWidth="30240" windowHeight="18900" xr2:uid="{893A579B-0CB1-439D-AEF0-1099E6FDDED7}"/>
  </bookViews>
  <sheets>
    <sheet name="Settings" sheetId="1" r:id="rId1"/>
    <sheet name="Budget Planning" sheetId="2" r:id="rId2"/>
    <sheet name="Budget Tracking" sheetId="3" r:id="rId3"/>
    <sheet name="Budget Dashboard" sheetId="4" r:id="rId4"/>
    <sheet name="Calculations" sheetId="5" r:id="rId5"/>
    <sheet name="Drop-down Data" sheetId="6" state="hidden" r:id="rId6"/>
  </sheets>
  <definedNames>
    <definedName name="budget" localSheetId="3">'Budget Dashboard'!$L1</definedName>
    <definedName name="budget_range" localSheetId="3">'Budget Dashboard'!$Q1</definedName>
    <definedName name="budget_rank" localSheetId="3">'Budget Dashboard'!$R1</definedName>
    <definedName name="cc_budget" localSheetId="4">Calculations!$K1</definedName>
    <definedName name="cc_delta">Calculations!$L1</definedName>
    <definedName name="cc_in_focus" localSheetId="4">Calculations!$G1</definedName>
    <definedName name="cc_month_number">Calculations!$F1</definedName>
    <definedName name="cc_show_remaining_budget" localSheetId="4">Calculations!$I1</definedName>
    <definedName name="cc_show_type" localSheetId="4">Calculations!$H1</definedName>
    <definedName name="cc_tracked" localSheetId="4">Calculations!$J1</definedName>
    <definedName name="cc_type" localSheetId="4">Calculations!$E1</definedName>
    <definedName name="comb_rank" localSheetId="3">'Budget Dashboard'!$S1</definedName>
    <definedName name="comb_rank_norm" localSheetId="3">'Budget Dashboard'!$U1</definedName>
    <definedName name="comb_rank_norm_run_range" localSheetId="3">'Budget Dashboard'!$V1</definedName>
    <definedName name="comb_rank_range" localSheetId="3">'Budget Dashboard'!$T1</definedName>
    <definedName name="comb_rank_unique" localSheetId="3">'Budget Dashboard'!$W1</definedName>
    <definedName name="current_date">TODAY()</definedName>
    <definedName name="expenses_header_row">ROW(Expenses[[#Headers],[Expenses]])</definedName>
    <definedName name="expenses_max_row">MAX(ROW(Expenses[]))</definedName>
    <definedName name="expenses_min_row">MIN(ROW(Expenses[]))</definedName>
    <definedName name="expenses_total_row">ROW('Budget Planning'!$C$40)</definedName>
    <definedName name="header_row_id" localSheetId="3">'Budget Dashboard'!$D1</definedName>
    <definedName name="income_header_row">ROW( Income[[#Headers],[Income]])</definedName>
    <definedName name="income_max_row">MAX(ROW(Income[]))</definedName>
    <definedName name="income_min_row">MIN(ROW(Income[]))</definedName>
    <definedName name="income_total_row">ROW('Budget Planning'!$C$19)</definedName>
    <definedName name="is_cat" localSheetId="3">'Budget Dashboard'!$F1</definedName>
    <definedName name="is_empty" localSheetId="3">'Budget Dashboard'!$H1</definedName>
    <definedName name="is_header" localSheetId="3">'Budget Dashboard'!$E1</definedName>
    <definedName name="is_total" localSheetId="3">'Budget Dashboard'!$G1</definedName>
    <definedName name="item" localSheetId="3">'Budget Dashboard'!$J1</definedName>
    <definedName name="out_budget" localSheetId="3">'Budget Dashboard'!$AA1</definedName>
    <definedName name="out_percentage_completed" localSheetId="3">'Budget Dashboard'!$AB1</definedName>
    <definedName name="out_tracked" localSheetId="3">'Budget Dashboard'!$Z1</definedName>
    <definedName name="row_id" localSheetId="3">'Budget Dashboard'!$C1</definedName>
    <definedName name="run_range" localSheetId="3">'Budget Dashboard'!$V1</definedName>
    <definedName name="savings_header_row">ROW(Savings[[#Headers],[Savings]])</definedName>
    <definedName name="savings_max_row">MAX(ROW(Savings[]))</definedName>
    <definedName name="savings_min_row">MIN(ROW(Savings[]))</definedName>
    <definedName name="savings_rate_calculation_type">Settings!$D$22</definedName>
    <definedName name="savings_total_row">ROW('Budget Planning'!$C$47)</definedName>
    <definedName name="selected_period">Calculations!$E$19</definedName>
    <definedName name="selected_period_display">Calculations!$E$20</definedName>
    <definedName name="selected_year">Calculations!$E$18</definedName>
    <definedName name="shift_late_income_starting_date">Settings!$D$18</definedName>
    <definedName name="shift_late_income_starting_day">Settings!$D$18</definedName>
    <definedName name="shift_late_income_status">Settings!$D$16</definedName>
    <definedName name="sort_max_row" localSheetId="3">'Budget Dashboard'!$N1</definedName>
    <definedName name="sort_min_row" localSheetId="3">'Budget Dashboard'!$M1</definedName>
    <definedName name="starting_year">Settings!$D$9</definedName>
    <definedName name="tracked" localSheetId="3">'Budget Dashboard'!$K1</definedName>
    <definedName name="tracked_range" localSheetId="3">'Budget Dashboard'!$O1</definedName>
    <definedName name="tracked_rank" localSheetId="3">'Budget Dashboard'!$P1</definedName>
    <definedName name="type" localSheetId="3">'Budget Dashboard'!$I1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" i="3" l="1" a="1"/>
  <c r="H21" i="3" s="1"/>
  <c r="H22" i="3" a="1"/>
  <c r="H22" i="3" s="1"/>
  <c r="H23" i="3" a="1"/>
  <c r="H23" i="3" s="1"/>
  <c r="H24" i="3" a="1"/>
  <c r="H24" i="3" s="1"/>
  <c r="H25" i="3" a="1"/>
  <c r="H25" i="3" s="1"/>
  <c r="H26" i="3" a="1"/>
  <c r="H26" i="3" s="1"/>
  <c r="H27" i="3" a="1"/>
  <c r="H27" i="3" s="1"/>
  <c r="H28" i="3" a="1"/>
  <c r="H28" i="3" s="1"/>
  <c r="H14" i="3" a="1"/>
  <c r="H14" i="3" s="1"/>
  <c r="H15" i="3" a="1"/>
  <c r="H15" i="3" s="1"/>
  <c r="H16" i="3" a="1"/>
  <c r="H16" i="3" s="1"/>
  <c r="H17" i="3" a="1"/>
  <c r="H17" i="3" s="1"/>
  <c r="H18" i="3" a="1"/>
  <c r="H18" i="3" s="1"/>
  <c r="H19" i="3" a="1"/>
  <c r="H19" i="3" s="1"/>
  <c r="H20" i="3" a="1"/>
  <c r="H20" i="3" s="1"/>
  <c r="H12" i="3" a="1"/>
  <c r="H12" i="3" s="1"/>
  <c r="H13" i="3" a="1"/>
  <c r="H13" i="3" s="1"/>
  <c r="C50" i="2"/>
  <c r="Q22" i="2"/>
  <c r="E9" i="5"/>
  <c r="E8" i="5" a="1"/>
  <c r="E8" i="5" s="1"/>
  <c r="I59" i="5"/>
  <c r="I60" i="5"/>
  <c r="I61" i="5"/>
  <c r="I63" i="5"/>
  <c r="I64" i="5"/>
  <c r="I65" i="5"/>
  <c r="I67" i="5"/>
  <c r="I68" i="5"/>
  <c r="I69" i="5"/>
  <c r="I71" i="5"/>
  <c r="I72" i="5"/>
  <c r="I73" i="5"/>
  <c r="I75" i="5"/>
  <c r="I76" i="5"/>
  <c r="I77" i="5"/>
  <c r="I79" i="5"/>
  <c r="I80" i="5"/>
  <c r="I81" i="5"/>
  <c r="I83" i="5"/>
  <c r="I84" i="5"/>
  <c r="I85" i="5"/>
  <c r="I87" i="5"/>
  <c r="I88" i="5"/>
  <c r="I89" i="5"/>
  <c r="I91" i="5"/>
  <c r="I92" i="5"/>
  <c r="I93" i="5"/>
  <c r="I95" i="5"/>
  <c r="I96" i="5"/>
  <c r="I97" i="5"/>
  <c r="I99" i="5"/>
  <c r="I100" i="5"/>
  <c r="I101" i="5"/>
  <c r="I56" i="5"/>
  <c r="I57" i="5"/>
  <c r="I55" i="5"/>
  <c r="H59" i="5"/>
  <c r="H60" i="5"/>
  <c r="H61" i="5"/>
  <c r="H63" i="5"/>
  <c r="H64" i="5"/>
  <c r="H65" i="5"/>
  <c r="H67" i="5"/>
  <c r="H68" i="5"/>
  <c r="H69" i="5"/>
  <c r="H71" i="5"/>
  <c r="H72" i="5"/>
  <c r="H73" i="5"/>
  <c r="H75" i="5"/>
  <c r="H76" i="5"/>
  <c r="H77" i="5"/>
  <c r="H79" i="5"/>
  <c r="H80" i="5"/>
  <c r="H81" i="5"/>
  <c r="H83" i="5"/>
  <c r="H84" i="5"/>
  <c r="H85" i="5"/>
  <c r="H87" i="5"/>
  <c r="H88" i="5"/>
  <c r="H89" i="5"/>
  <c r="H91" i="5"/>
  <c r="H92" i="5"/>
  <c r="H93" i="5"/>
  <c r="H95" i="5"/>
  <c r="H96" i="5"/>
  <c r="H97" i="5"/>
  <c r="H99" i="5"/>
  <c r="H100" i="5"/>
  <c r="H101" i="5"/>
  <c r="H57" i="5"/>
  <c r="H56" i="5"/>
  <c r="H55" i="5"/>
  <c r="N36" i="5" a="1"/>
  <c r="N36" i="5" s="1"/>
  <c r="M36" i="5" s="1" a="1"/>
  <c r="M36" i="5" s="1"/>
  <c r="N37" i="5" a="1"/>
  <c r="N37" i="5" s="1"/>
  <c r="M37" i="5" s="1" a="1"/>
  <c r="M37" i="5" s="1"/>
  <c r="N38" i="5" a="1"/>
  <c r="N38" i="5" s="1"/>
  <c r="M38" i="5" s="1" a="1"/>
  <c r="M38" i="5" s="1"/>
  <c r="N39" i="5" a="1"/>
  <c r="N39" i="5" s="1"/>
  <c r="M39" i="5" s="1" a="1"/>
  <c r="M39" i="5" s="1"/>
  <c r="F36" i="5" a="1"/>
  <c r="F36" i="5" s="1"/>
  <c r="F37" i="5" a="1"/>
  <c r="F37" i="5" s="1"/>
  <c r="F38" i="5" a="1"/>
  <c r="F38" i="5" s="1"/>
  <c r="F39" i="5" a="1"/>
  <c r="F39" i="5" s="1"/>
  <c r="AP35" i="4"/>
  <c r="AI22" i="4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I9" i="2"/>
  <c r="BJ9" i="2"/>
  <c r="BK9" i="2"/>
  <c r="BL9" i="2"/>
  <c r="BM9" i="2"/>
  <c r="BN9" i="2"/>
  <c r="BO9" i="2"/>
  <c r="BP9" i="2"/>
  <c r="BQ9" i="2"/>
  <c r="BR9" i="2"/>
  <c r="BS9" i="2"/>
  <c r="BT9" i="2"/>
  <c r="BU9" i="2"/>
  <c r="BG10" i="2"/>
  <c r="BU10" i="2"/>
  <c r="BG11" i="2"/>
  <c r="BU11" i="2"/>
  <c r="BG12" i="2"/>
  <c r="BU12" i="2"/>
  <c r="BG13" i="2"/>
  <c r="BU13" i="2"/>
  <c r="BG14" i="2"/>
  <c r="BU14" i="2"/>
  <c r="BG15" i="2"/>
  <c r="BU15" i="2"/>
  <c r="BG16" i="2"/>
  <c r="BU16" i="2"/>
  <c r="BG17" i="2"/>
  <c r="BU17" i="2"/>
  <c r="BG18" i="2"/>
  <c r="BU18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U21" i="2"/>
  <c r="BG22" i="2"/>
  <c r="BU22" i="2"/>
  <c r="BG25" i="2"/>
  <c r="BU25" i="2"/>
  <c r="BG26" i="2"/>
  <c r="BU26" i="2"/>
  <c r="BG27" i="2"/>
  <c r="BU27" i="2"/>
  <c r="BG28" i="2"/>
  <c r="BU28" i="2"/>
  <c r="BG29" i="2"/>
  <c r="BU29" i="2"/>
  <c r="BG30" i="2"/>
  <c r="BU30" i="2"/>
  <c r="BG31" i="2"/>
  <c r="BU31" i="2"/>
  <c r="BG32" i="2"/>
  <c r="BU32" i="2"/>
  <c r="BG33" i="2"/>
  <c r="BU33" i="2"/>
  <c r="BG39" i="2"/>
  <c r="BU39" i="2"/>
  <c r="BG34" i="2"/>
  <c r="BU34" i="2"/>
  <c r="BG35" i="2"/>
  <c r="BU35" i="2"/>
  <c r="BG38" i="2"/>
  <c r="BU38" i="2"/>
  <c r="BG23" i="2"/>
  <c r="BU23" i="2"/>
  <c r="BG37" i="2"/>
  <c r="BU37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U42" i="2"/>
  <c r="BG43" i="2"/>
  <c r="BU43" i="2"/>
  <c r="BG44" i="2"/>
  <c r="BU44" i="2"/>
  <c r="BG45" i="2"/>
  <c r="BU45" i="2"/>
  <c r="BG46" i="2"/>
  <c r="BU46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S10" i="2"/>
  <c r="AS11" i="2"/>
  <c r="AS12" i="2"/>
  <c r="AS13" i="2"/>
  <c r="AS14" i="2"/>
  <c r="AS15" i="2"/>
  <c r="AS16" i="2"/>
  <c r="AS17" i="2"/>
  <c r="AS18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S22" i="2"/>
  <c r="AS25" i="2"/>
  <c r="AS26" i="2"/>
  <c r="AS27" i="2"/>
  <c r="AS28" i="2"/>
  <c r="AS29" i="2"/>
  <c r="AS30" i="2"/>
  <c r="AS31" i="2"/>
  <c r="AS32" i="2"/>
  <c r="AS33" i="2"/>
  <c r="AS39" i="2"/>
  <c r="AS34" i="2"/>
  <c r="AS35" i="2"/>
  <c r="AS38" i="2"/>
  <c r="AS23" i="2"/>
  <c r="AS37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S43" i="2"/>
  <c r="AS44" i="2"/>
  <c r="AS45" i="2"/>
  <c r="AS46" i="2"/>
  <c r="C13" i="4" a="1"/>
  <c r="C13" i="4" s="1"/>
  <c r="E19" i="5" a="1"/>
  <c r="E19" i="5" s="1"/>
  <c r="E18" i="5" a="1"/>
  <c r="E18" i="5" s="1"/>
  <c r="C9" i="6"/>
  <c r="C10" i="6" s="1"/>
  <c r="C11" i="6" s="1"/>
  <c r="C12" i="6" s="1"/>
  <c r="C13" i="6" s="1"/>
  <c r="E12" i="5" a="1"/>
  <c r="E12" i="5" s="1"/>
  <c r="E11" i="5"/>
  <c r="S9" i="2"/>
  <c r="T9" i="2"/>
  <c r="U9" i="2"/>
  <c r="V9" i="2"/>
  <c r="W9" i="2"/>
  <c r="X9" i="2"/>
  <c r="Y9" i="2"/>
  <c r="Z9" i="2"/>
  <c r="AA9" i="2"/>
  <c r="AB9" i="2"/>
  <c r="AC9" i="2"/>
  <c r="AD9" i="2"/>
  <c r="AE9" i="2"/>
  <c r="AE10" i="2"/>
  <c r="AE11" i="2"/>
  <c r="AE12" i="2"/>
  <c r="AE13" i="2"/>
  <c r="AE14" i="2"/>
  <c r="AE15" i="2"/>
  <c r="AE16" i="2"/>
  <c r="AE17" i="2"/>
  <c r="AE18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E22" i="2"/>
  <c r="AE25" i="2"/>
  <c r="AE26" i="2"/>
  <c r="AE27" i="2"/>
  <c r="AE28" i="2"/>
  <c r="AE29" i="2"/>
  <c r="AE30" i="2"/>
  <c r="AE31" i="2"/>
  <c r="AE32" i="2"/>
  <c r="AE33" i="2"/>
  <c r="AE39" i="2"/>
  <c r="AE34" i="2"/>
  <c r="AE35" i="2"/>
  <c r="AE38" i="2"/>
  <c r="AE23" i="2"/>
  <c r="AE37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E43" i="2"/>
  <c r="AE44" i="2"/>
  <c r="AE45" i="2"/>
  <c r="AE46" i="2"/>
  <c r="Q43" i="2"/>
  <c r="Q46" i="2"/>
  <c r="Q45" i="2"/>
  <c r="Q44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Q29" i="2"/>
  <c r="Q30" i="2"/>
  <c r="Q31" i="2"/>
  <c r="Q32" i="2"/>
  <c r="Q33" i="2"/>
  <c r="Q39" i="2"/>
  <c r="Q34" i="2"/>
  <c r="Q35" i="2"/>
  <c r="Q38" i="2"/>
  <c r="Q23" i="2"/>
  <c r="Q37" i="2"/>
  <c r="Q13" i="2"/>
  <c r="Q11" i="2"/>
  <c r="Q12" i="2"/>
  <c r="Q14" i="2"/>
  <c r="Q15" i="2"/>
  <c r="Q16" i="2"/>
  <c r="Q17" i="2"/>
  <c r="Q18" i="2"/>
  <c r="Q25" i="2"/>
  <c r="Q26" i="2"/>
  <c r="Q27" i="2"/>
  <c r="Q28" i="2"/>
  <c r="Q10" i="2"/>
  <c r="Q21" i="2"/>
  <c r="P21" i="2"/>
  <c r="O21" i="2"/>
  <c r="N21" i="2"/>
  <c r="M21" i="2"/>
  <c r="L21" i="2"/>
  <c r="K21" i="2"/>
  <c r="J21" i="2"/>
  <c r="I21" i="2"/>
  <c r="H21" i="2"/>
  <c r="G21" i="2"/>
  <c r="F21" i="2"/>
  <c r="E21" i="2"/>
  <c r="Q9" i="2"/>
  <c r="P9" i="2"/>
  <c r="O9" i="2"/>
  <c r="N9" i="2"/>
  <c r="M9" i="2"/>
  <c r="L9" i="2"/>
  <c r="K9" i="2"/>
  <c r="J9" i="2"/>
  <c r="I9" i="2"/>
  <c r="H9" i="2"/>
  <c r="G9" i="2"/>
  <c r="F9" i="2"/>
  <c r="E9" i="2"/>
  <c r="AX47" i="2" a="1"/>
  <c r="Z47" i="2" a="1"/>
  <c r="G40" i="2" a="1"/>
  <c r="AU40" i="2" a="1"/>
  <c r="V40" i="2" a="1"/>
  <c r="M40" i="2" a="1"/>
  <c r="AP47" i="2" a="1"/>
  <c r="AK40" i="2" a="1"/>
  <c r="F47" i="2" a="1"/>
  <c r="M47" i="2" a="1"/>
  <c r="I40" i="2" a="1"/>
  <c r="BM47" i="2" a="1"/>
  <c r="N47" i="2" a="1"/>
  <c r="AG40" i="2" a="1"/>
  <c r="BD19" i="2" a="1"/>
  <c r="BF19" i="2" a="1"/>
  <c r="BO47" i="2" a="1"/>
  <c r="BA19" i="2" a="1"/>
  <c r="BI47" i="2" a="1"/>
  <c r="K47" i="2" a="1"/>
  <c r="BC19" i="2" a="1"/>
  <c r="AO40" i="2" a="1"/>
  <c r="AL40" i="2" a="1"/>
  <c r="AL19" i="2" a="1"/>
  <c r="N40" i="2" a="1"/>
  <c r="F40" i="2" a="1"/>
  <c r="AW19" i="2" a="1"/>
  <c r="AC40" i="2" a="1"/>
  <c r="K19" i="2" a="1"/>
  <c r="AI19" i="2" a="1"/>
  <c r="AK19" i="2" a="1"/>
  <c r="M19" i="2" a="1"/>
  <c r="BE47" i="2" a="1"/>
  <c r="BA40" i="2" a="1"/>
  <c r="BR40" i="2" a="1"/>
  <c r="X40" i="2" a="1"/>
  <c r="T19" i="2" a="1"/>
  <c r="BO40" i="2" a="1"/>
  <c r="BO19" i="2" a="1"/>
  <c r="U40" i="2" a="1"/>
  <c r="AR19" i="2" a="1"/>
  <c r="BJ40" i="2" a="1"/>
  <c r="AL47" i="2" a="1"/>
  <c r="BT19" i="2" a="1"/>
  <c r="BI19" i="2" a="1"/>
  <c r="X19" i="2" a="1"/>
  <c r="BB40" i="2" a="1"/>
  <c r="S47" i="2" a="1"/>
  <c r="BK19" i="2" a="1"/>
  <c r="I47" i="2" a="1"/>
  <c r="AV40" i="2" a="1"/>
  <c r="BN40" i="2" a="1"/>
  <c r="AW40" i="2" a="1"/>
  <c r="AB40" i="2" a="1"/>
  <c r="AH19" i="2" a="1"/>
  <c r="BB19" i="2" a="1"/>
  <c r="U19" i="2" a="1"/>
  <c r="AD19" i="2" a="1"/>
  <c r="AJ47" i="2" a="1"/>
  <c r="E19" i="2" a="1"/>
  <c r="BQ19" i="2" a="1"/>
  <c r="BK47" i="2" a="1"/>
  <c r="BA47" i="2" a="1"/>
  <c r="BR47" i="2" a="1"/>
  <c r="T40" i="2" a="1"/>
  <c r="H47" i="2" a="1"/>
  <c r="BL47" i="2" a="1"/>
  <c r="AM40" i="2" a="1"/>
  <c r="S40" i="2" a="1"/>
  <c r="L40" i="2" a="1"/>
  <c r="T47" i="2" a="1"/>
  <c r="J40" i="2" a="1"/>
  <c r="AZ47" i="2" a="1"/>
  <c r="AU19" i="2" a="1"/>
  <c r="J47" i="2" a="1"/>
  <c r="V47" i="2" a="1"/>
  <c r="O47" i="2" a="1"/>
  <c r="BT40" i="2" a="1"/>
  <c r="G19" i="2" a="1"/>
  <c r="U47" i="2" a="1"/>
  <c r="Z19" i="2" a="1"/>
  <c r="AQ47" i="2" a="1"/>
  <c r="BK40" i="2" a="1"/>
  <c r="BD40" i="2" a="1"/>
  <c r="AJ19" i="2" a="1"/>
  <c r="AI47" i="2" a="1"/>
  <c r="AO47" i="2" a="1"/>
  <c r="AA19" i="2" a="1"/>
  <c r="Y40" i="2" a="1"/>
  <c r="BT47" i="2" a="1"/>
  <c r="BC47" i="2" a="1"/>
  <c r="Z40" i="2" a="1"/>
  <c r="AA40" i="2" a="1"/>
  <c r="AH40" i="2" a="1"/>
  <c r="W19" i="2" a="1"/>
  <c r="AM19" i="2" a="1"/>
  <c r="AJ40" i="2" a="1"/>
  <c r="V19" i="2" a="1"/>
  <c r="Y19" i="2" a="1"/>
  <c r="AR47" i="2" a="1"/>
  <c r="BB47" i="2" a="1"/>
  <c r="BU19" i="2" a="1"/>
  <c r="AV47" i="2" a="1"/>
  <c r="AX40" i="2" a="1"/>
  <c r="BP47" i="2" a="1"/>
  <c r="AR40" i="2" a="1"/>
  <c r="F19" i="2" a="1"/>
  <c r="AQ19" i="2" a="1"/>
  <c r="X47" i="2" a="1"/>
  <c r="BN19" i="2" a="1"/>
  <c r="W40" i="2" a="1"/>
  <c r="AP19" i="2" a="1"/>
  <c r="AZ40" i="2" a="1"/>
  <c r="Y47" i="2" a="1"/>
  <c r="AS47" i="2" a="1"/>
  <c r="AK47" i="2" a="1"/>
  <c r="E40" i="2" a="1"/>
  <c r="BE40" i="2" a="1"/>
  <c r="BU47" i="2" a="1"/>
  <c r="L19" i="2" a="1"/>
  <c r="AW47" i="2" a="1"/>
  <c r="L47" i="2" a="1"/>
  <c r="BF40" i="2" a="1"/>
  <c r="AX19" i="2" a="1"/>
  <c r="AM47" i="2" a="1"/>
  <c r="BJ19" i="2" a="1"/>
  <c r="AV19" i="2" a="1"/>
  <c r="AN19" i="2" a="1"/>
  <c r="BR19" i="2" a="1"/>
  <c r="AD40" i="2" a="1"/>
  <c r="AY47" i="2" a="1"/>
  <c r="K40" i="2" a="1"/>
  <c r="H19" i="2" a="1"/>
  <c r="Q19" i="2" a="1"/>
  <c r="BJ47" i="2" a="1"/>
  <c r="BI40" i="2" a="1"/>
  <c r="BQ47" i="2" a="1"/>
  <c r="BC40" i="2" a="1"/>
  <c r="G47" i="2" a="1"/>
  <c r="BN47" i="2" a="1"/>
  <c r="P47" i="2" a="1"/>
  <c r="AG47" i="2" a="1"/>
  <c r="AY40" i="2" a="1"/>
  <c r="AY19" i="2" a="1"/>
  <c r="W47" i="2" a="1"/>
  <c r="BG19" i="2" a="1"/>
  <c r="N19" i="2" a="1"/>
  <c r="AE47" i="2" a="1"/>
  <c r="AN40" i="2" a="1"/>
  <c r="BF47" i="2" a="1"/>
  <c r="BP19" i="2" a="1"/>
  <c r="BQ40" i="2" a="1"/>
  <c r="AB19" i="2" a="1"/>
  <c r="BM19" i="2" a="1"/>
  <c r="I19" i="2" a="1"/>
  <c r="BL40" i="2" a="1"/>
  <c r="BS19" i="2" a="1"/>
  <c r="BS40" i="2" a="1"/>
  <c r="AB47" i="2" a="1"/>
  <c r="H40" i="2" a="1"/>
  <c r="AU47" i="2" a="1"/>
  <c r="BE19" i="2" a="1"/>
  <c r="AN47" i="2" a="1"/>
  <c r="AI40" i="2" a="1"/>
  <c r="BP40" i="2" a="1"/>
  <c r="AZ19" i="2" a="1"/>
  <c r="O40" i="2" a="1"/>
  <c r="P40" i="2" a="1"/>
  <c r="AC19" i="2" a="1"/>
  <c r="AC47" i="2" a="1"/>
  <c r="E47" i="2" a="1"/>
  <c r="BM40" i="2" a="1"/>
  <c r="Q47" i="2" a="1"/>
  <c r="BS47" i="2" a="1"/>
  <c r="BG47" i="2" a="1"/>
  <c r="AH47" i="2" a="1"/>
  <c r="S19" i="2" a="1"/>
  <c r="AO19" i="2" a="1"/>
  <c r="AE19" i="2" a="1"/>
  <c r="AA47" i="2" a="1"/>
  <c r="AQ40" i="2" a="1"/>
  <c r="BL19" i="2" a="1"/>
  <c r="P19" i="2" a="1"/>
  <c r="O19" i="2" a="1"/>
  <c r="AP40" i="2" a="1"/>
  <c r="AG19" i="2" a="1"/>
  <c r="BD47" i="2" a="1"/>
  <c r="AS19" i="2" a="1"/>
  <c r="J19" i="2" a="1"/>
  <c r="AD47" i="2" a="1"/>
  <c r="AL40" i="2" l="1"/>
  <c r="BT40" i="2"/>
  <c r="BM19" i="2"/>
  <c r="BS40" i="2"/>
  <c r="AR40" i="2"/>
  <c r="BQ47" i="2"/>
  <c r="AG40" i="2"/>
  <c r="AI19" i="2"/>
  <c r="AU47" i="2"/>
  <c r="AP47" i="2"/>
  <c r="AO40" i="2"/>
  <c r="AQ19" i="2"/>
  <c r="AG19" i="2"/>
  <c r="BN47" i="2"/>
  <c r="BC47" i="2"/>
  <c r="BM40" i="2"/>
  <c r="BA40" i="2"/>
  <c r="BP19" i="2"/>
  <c r="BE19" i="2"/>
  <c r="AU19" i="2"/>
  <c r="AM47" i="2"/>
  <c r="AZ47" i="2"/>
  <c r="AM19" i="2"/>
  <c r="BI40" i="2"/>
  <c r="AH40" i="2"/>
  <c r="AQ40" i="2"/>
  <c r="BP47" i="2"/>
  <c r="BC40" i="2"/>
  <c r="AO47" i="2"/>
  <c r="AN40" i="2"/>
  <c r="AP19" i="2"/>
  <c r="BM47" i="2"/>
  <c r="BB47" i="2"/>
  <c r="BL40" i="2"/>
  <c r="AZ40" i="2"/>
  <c r="BO19" i="2"/>
  <c r="BD19" i="2"/>
  <c r="AN47" i="2"/>
  <c r="AM40" i="2"/>
  <c r="AO19" i="2"/>
  <c r="BL47" i="2"/>
  <c r="BA47" i="2"/>
  <c r="BK40" i="2"/>
  <c r="AY40" i="2"/>
  <c r="BN19" i="2"/>
  <c r="BC19" i="2"/>
  <c r="BB19" i="2"/>
  <c r="BA19" i="2"/>
  <c r="AZ19" i="2"/>
  <c r="AN19" i="2"/>
  <c r="BJ40" i="2"/>
  <c r="AK40" i="2"/>
  <c r="AW40" i="2"/>
  <c r="AK47" i="2"/>
  <c r="AJ40" i="2"/>
  <c r="AL19" i="2"/>
  <c r="BS47" i="2"/>
  <c r="BI47" i="2"/>
  <c r="AX47" i="2"/>
  <c r="BR40" i="2"/>
  <c r="BF40" i="2"/>
  <c r="AV40" i="2"/>
  <c r="BU19" i="2"/>
  <c r="BK19" i="2"/>
  <c r="AJ47" i="2"/>
  <c r="AI40" i="2"/>
  <c r="AK19" i="2"/>
  <c r="AK7" i="2" s="1"/>
  <c r="AK6" i="2" s="1"/>
  <c r="BR47" i="2"/>
  <c r="BG47" i="2"/>
  <c r="AW47" i="2"/>
  <c r="BQ40" i="2"/>
  <c r="BE40" i="2"/>
  <c r="AU40" i="2"/>
  <c r="BT19" i="2"/>
  <c r="BJ19" i="2"/>
  <c r="AY19" i="2"/>
  <c r="AY7" i="2" s="1"/>
  <c r="AY6" i="2" s="1"/>
  <c r="BT47" i="2"/>
  <c r="AS47" i="2"/>
  <c r="BF47" i="2"/>
  <c r="AV47" i="2"/>
  <c r="BP40" i="2"/>
  <c r="BD40" i="2"/>
  <c r="BS19" i="2"/>
  <c r="BI19" i="2"/>
  <c r="AX19" i="2"/>
  <c r="BU47" i="2"/>
  <c r="BJ47" i="2"/>
  <c r="BE47" i="2"/>
  <c r="BR19" i="2"/>
  <c r="BG19" i="2"/>
  <c r="AW19" i="2"/>
  <c r="BK47" i="2"/>
  <c r="AX40" i="2"/>
  <c r="AL47" i="2"/>
  <c r="AY47" i="2"/>
  <c r="BL19" i="2"/>
  <c r="AI47" i="2"/>
  <c r="AJ19" i="2"/>
  <c r="AR47" i="2"/>
  <c r="AH47" i="2"/>
  <c r="AS19" i="2"/>
  <c r="BO40" i="2"/>
  <c r="AQ47" i="2"/>
  <c r="AG47" i="2"/>
  <c r="AP40" i="2"/>
  <c r="AR19" i="2"/>
  <c r="AH19" i="2"/>
  <c r="BO47" i="2"/>
  <c r="BD47" i="2"/>
  <c r="BN40" i="2"/>
  <c r="BB40" i="2"/>
  <c r="BQ19" i="2"/>
  <c r="BF19" i="2"/>
  <c r="AV19" i="2"/>
  <c r="E10" i="5"/>
  <c r="E21" i="5"/>
  <c r="E22" i="5" s="1" a="1"/>
  <c r="E22" i="5" s="1"/>
  <c r="J13" i="4" a="1"/>
  <c r="J13" i="4" s="1"/>
  <c r="H13" i="4"/>
  <c r="G13" i="4" a="1"/>
  <c r="G13" i="4" s="1"/>
  <c r="E13" i="4" a="1"/>
  <c r="E13" i="4" s="1"/>
  <c r="D99" i="5"/>
  <c r="D95" i="5"/>
  <c r="D91" i="5"/>
  <c r="D87" i="5"/>
  <c r="D83" i="5"/>
  <c r="D79" i="5"/>
  <c r="D75" i="5"/>
  <c r="D71" i="5"/>
  <c r="D67" i="5"/>
  <c r="D63" i="5"/>
  <c r="D59" i="5"/>
  <c r="D55" i="5"/>
  <c r="E13" i="5"/>
  <c r="E14" i="5" s="1"/>
  <c r="E36" i="5" a="1"/>
  <c r="E36" i="5" s="1"/>
  <c r="AI17" i="4" s="1"/>
  <c r="AJ17" i="4"/>
  <c r="E37" i="5" a="1"/>
  <c r="E37" i="5" s="1"/>
  <c r="AI18" i="4" s="1"/>
  <c r="AJ18" i="4"/>
  <c r="E38" i="5" a="1"/>
  <c r="E38" i="5" s="1"/>
  <c r="AI19" i="4" s="1"/>
  <c r="AJ19" i="4"/>
  <c r="E39" i="5" a="1"/>
  <c r="E39" i="5" s="1"/>
  <c r="AI20" i="4" s="1"/>
  <c r="AJ20" i="4"/>
  <c r="C14" i="4" a="1"/>
  <c r="C14" i="4" s="1"/>
  <c r="E20" i="5"/>
  <c r="V19" i="2"/>
  <c r="AD47" i="2"/>
  <c r="Z47" i="2"/>
  <c r="V47" i="2"/>
  <c r="AA40" i="2"/>
  <c r="W40" i="2"/>
  <c r="S40" i="2"/>
  <c r="Z19" i="2"/>
  <c r="AC47" i="2"/>
  <c r="U47" i="2"/>
  <c r="AD40" i="2"/>
  <c r="Z40" i="2"/>
  <c r="V40" i="2"/>
  <c r="AD19" i="2"/>
  <c r="Y47" i="2"/>
  <c r="AC19" i="2"/>
  <c r="Y19" i="2"/>
  <c r="U19" i="2"/>
  <c r="X47" i="2"/>
  <c r="AC40" i="2"/>
  <c r="Y40" i="2"/>
  <c r="U40" i="2"/>
  <c r="AB47" i="2"/>
  <c r="T47" i="2"/>
  <c r="AB19" i="2"/>
  <c r="X19" i="2"/>
  <c r="T19" i="2"/>
  <c r="AE47" i="2"/>
  <c r="W47" i="2"/>
  <c r="AB40" i="2"/>
  <c r="X40" i="2"/>
  <c r="T40" i="2"/>
  <c r="AA47" i="2"/>
  <c r="S47" i="2"/>
  <c r="AE19" i="2"/>
  <c r="AA19" i="2"/>
  <c r="W19" i="2"/>
  <c r="S19" i="2"/>
  <c r="E47" i="2"/>
  <c r="J47" i="2"/>
  <c r="Q47" i="2"/>
  <c r="I47" i="2"/>
  <c r="M47" i="2"/>
  <c r="H47" i="2"/>
  <c r="L47" i="2"/>
  <c r="N47" i="2"/>
  <c r="O47" i="2"/>
  <c r="K47" i="2"/>
  <c r="G47" i="2"/>
  <c r="P47" i="2"/>
  <c r="F47" i="2"/>
  <c r="I40" i="2"/>
  <c r="P40" i="2"/>
  <c r="H40" i="2"/>
  <c r="L40" i="2"/>
  <c r="M40" i="2"/>
  <c r="O40" i="2"/>
  <c r="G40" i="2"/>
  <c r="K40" i="2"/>
  <c r="N40" i="2"/>
  <c r="J40" i="2"/>
  <c r="F40" i="2"/>
  <c r="E40" i="2"/>
  <c r="E19" i="2"/>
  <c r="M19" i="2"/>
  <c r="I19" i="2"/>
  <c r="P19" i="2"/>
  <c r="H19" i="2"/>
  <c r="L19" i="2"/>
  <c r="Q19" i="2"/>
  <c r="G19" i="2"/>
  <c r="N19" i="2"/>
  <c r="O19" i="2"/>
  <c r="K19" i="2"/>
  <c r="J19" i="2"/>
  <c r="F19" i="2"/>
  <c r="BS7" i="2" l="1"/>
  <c r="BS6" i="2" s="1"/>
  <c r="BQ7" i="2"/>
  <c r="BQ6" i="2" s="1"/>
  <c r="BK7" i="2"/>
  <c r="BK6" i="2" s="1"/>
  <c r="AW7" i="2"/>
  <c r="AW6" i="2" s="1"/>
  <c r="BB7" i="2"/>
  <c r="BB6" i="2" s="1"/>
  <c r="AL7" i="2"/>
  <c r="AL6" i="2" s="1"/>
  <c r="BL7" i="2"/>
  <c r="BL6" i="2" s="1"/>
  <c r="BF7" i="2"/>
  <c r="BF6" i="2" s="1"/>
  <c r="AZ7" i="2"/>
  <c r="AZ6" i="2" s="1"/>
  <c r="AM7" i="2"/>
  <c r="AM6" i="2" s="1"/>
  <c r="AJ7" i="2"/>
  <c r="AJ6" i="2" s="1"/>
  <c r="BI7" i="2"/>
  <c r="BI6" i="2" s="1"/>
  <c r="BA7" i="2"/>
  <c r="BA6" i="2" s="1"/>
  <c r="BP7" i="2"/>
  <c r="BP6" i="2" s="1"/>
  <c r="BM7" i="2"/>
  <c r="BM6" i="2" s="1"/>
  <c r="AR7" i="2"/>
  <c r="AR6" i="2" s="1"/>
  <c r="AI7" i="2"/>
  <c r="AI6" i="2" s="1"/>
  <c r="AQ7" i="2"/>
  <c r="AQ6" i="2" s="1"/>
  <c r="AO7" i="2"/>
  <c r="AO6" i="2" s="1"/>
  <c r="AU7" i="2"/>
  <c r="AU6" i="2" s="1"/>
  <c r="BJ7" i="2"/>
  <c r="BJ6" i="2" s="1"/>
  <c r="AX7" i="2"/>
  <c r="AX6" i="2" s="1"/>
  <c r="BE7" i="2"/>
  <c r="BE6" i="2" s="1"/>
  <c r="AS40" i="2"/>
  <c r="AS7" i="2" s="1"/>
  <c r="AS6" i="2" s="1"/>
  <c r="BG40" i="2"/>
  <c r="BG7" i="2" s="1"/>
  <c r="BG6" i="2" s="1"/>
  <c r="AH7" i="2"/>
  <c r="AH6" i="2" s="1"/>
  <c r="BT7" i="2"/>
  <c r="BT6" i="2" s="1"/>
  <c r="BR7" i="2"/>
  <c r="BR6" i="2" s="1"/>
  <c r="AN7" i="2"/>
  <c r="AN6" i="2" s="1"/>
  <c r="BD7" i="2"/>
  <c r="BD6" i="2" s="1"/>
  <c r="AV7" i="2"/>
  <c r="AV6" i="2" s="1"/>
  <c r="BU40" i="2"/>
  <c r="BU7" i="2" s="1"/>
  <c r="BU6" i="2" s="1"/>
  <c r="BC7" i="2"/>
  <c r="BC6" i="2" s="1"/>
  <c r="BO7" i="2"/>
  <c r="BO6" i="2" s="1"/>
  <c r="AP7" i="2"/>
  <c r="AP6" i="2" s="1"/>
  <c r="BN7" i="2"/>
  <c r="BN6" i="2" s="1"/>
  <c r="AG7" i="2"/>
  <c r="AG6" i="2" s="1"/>
  <c r="E23" i="5"/>
  <c r="F99" i="5"/>
  <c r="K99" i="5" s="1" a="1"/>
  <c r="K99" i="5" s="1"/>
  <c r="F100" i="5"/>
  <c r="K100" i="5" s="1" a="1"/>
  <c r="K100" i="5" s="1"/>
  <c r="F101" i="5"/>
  <c r="K101" i="5" s="1" a="1"/>
  <c r="K101" i="5" s="1"/>
  <c r="F95" i="5"/>
  <c r="F96" i="5"/>
  <c r="F97" i="5"/>
  <c r="F91" i="5"/>
  <c r="F92" i="5"/>
  <c r="F93" i="5"/>
  <c r="F87" i="5"/>
  <c r="F88" i="5"/>
  <c r="F89" i="5"/>
  <c r="F83" i="5"/>
  <c r="F84" i="5"/>
  <c r="F85" i="5"/>
  <c r="F80" i="5"/>
  <c r="F81" i="5"/>
  <c r="F79" i="5"/>
  <c r="F75" i="5"/>
  <c r="F76" i="5"/>
  <c r="F77" i="5"/>
  <c r="F71" i="5"/>
  <c r="F72" i="5"/>
  <c r="K72" i="5" s="1" a="1"/>
  <c r="K72" i="5" s="1"/>
  <c r="F73" i="5"/>
  <c r="K73" i="5" s="1" a="1"/>
  <c r="K73" i="5" s="1"/>
  <c r="F67" i="5"/>
  <c r="K67" i="5" s="1" a="1"/>
  <c r="K67" i="5" s="1"/>
  <c r="F68" i="5"/>
  <c r="F69" i="5"/>
  <c r="F63" i="5"/>
  <c r="F64" i="5"/>
  <c r="F65" i="5"/>
  <c r="F59" i="5"/>
  <c r="F60" i="5"/>
  <c r="F61" i="5"/>
  <c r="F57" i="5"/>
  <c r="F56" i="5"/>
  <c r="F55" i="5"/>
  <c r="F13" i="4"/>
  <c r="K13" i="4" a="1"/>
  <c r="K13" i="4" s="1"/>
  <c r="Z13" i="4"/>
  <c r="AA13" i="4"/>
  <c r="AB13" i="4"/>
  <c r="AC13" i="4"/>
  <c r="AD13" i="4"/>
  <c r="D13" i="4"/>
  <c r="I13" i="4" s="1" a="1"/>
  <c r="I13" i="4" s="1"/>
  <c r="L13" i="4" a="1"/>
  <c r="L13" i="4" s="1"/>
  <c r="C15" i="4" a="1"/>
  <c r="C15" i="4" s="1"/>
  <c r="J15" i="4" s="1" a="1"/>
  <c r="J15" i="4" s="1"/>
  <c r="H14" i="4"/>
  <c r="G14" i="4" a="1"/>
  <c r="G14" i="4" s="1"/>
  <c r="E14" i="4" a="1"/>
  <c r="E14" i="4" s="1"/>
  <c r="Y11" i="4"/>
  <c r="AF11" i="4"/>
  <c r="J14" i="4" a="1"/>
  <c r="J14" i="4" s="1"/>
  <c r="AA7" i="2"/>
  <c r="AA6" i="2" s="1"/>
  <c r="T7" i="2"/>
  <c r="T6" i="2" s="1"/>
  <c r="X7" i="2"/>
  <c r="X6" i="2" s="1"/>
  <c r="U7" i="2"/>
  <c r="U6" i="2" s="1"/>
  <c r="AB7" i="2"/>
  <c r="AB6" i="2" s="1"/>
  <c r="Y7" i="2"/>
  <c r="Y6" i="2" s="1"/>
  <c r="AC7" i="2"/>
  <c r="AC6" i="2" s="1"/>
  <c r="Z7" i="2"/>
  <c r="Z6" i="2" s="1"/>
  <c r="S7" i="2"/>
  <c r="S6" i="2" s="1"/>
  <c r="AD7" i="2"/>
  <c r="AD6" i="2" s="1"/>
  <c r="AE40" i="2"/>
  <c r="AE7" i="2" s="1"/>
  <c r="AE6" i="2" s="1"/>
  <c r="W7" i="2"/>
  <c r="W6" i="2" s="1"/>
  <c r="V7" i="2"/>
  <c r="V6" i="2" s="1"/>
  <c r="I7" i="2"/>
  <c r="I6" i="2" s="1"/>
  <c r="N7" i="2"/>
  <c r="N6" i="2" s="1"/>
  <c r="G7" i="2"/>
  <c r="G6" i="2" s="1"/>
  <c r="K7" i="2"/>
  <c r="K6" i="2" s="1"/>
  <c r="L7" i="2"/>
  <c r="L6" i="2" s="1"/>
  <c r="F7" i="2"/>
  <c r="F6" i="2" s="1"/>
  <c r="H7" i="2"/>
  <c r="H6" i="2" s="1"/>
  <c r="J7" i="2"/>
  <c r="J6" i="2" s="1"/>
  <c r="P7" i="2"/>
  <c r="P6" i="2" s="1"/>
  <c r="O7" i="2"/>
  <c r="O6" i="2" s="1"/>
  <c r="M7" i="2"/>
  <c r="M6" i="2" s="1"/>
  <c r="E7" i="2"/>
  <c r="E6" i="2" s="1"/>
  <c r="Q40" i="2"/>
  <c r="V13" i="4" l="1"/>
  <c r="U13" i="4"/>
  <c r="T13" i="4"/>
  <c r="S13" i="4"/>
  <c r="N13" i="4" a="1"/>
  <c r="N13" i="4" s="1"/>
  <c r="P13" i="4"/>
  <c r="M13" i="4" a="1"/>
  <c r="M13" i="4" s="1"/>
  <c r="O13" i="4"/>
  <c r="G99" i="5"/>
  <c r="J99" i="5" a="1"/>
  <c r="J99" i="5" s="1"/>
  <c r="G100" i="5"/>
  <c r="J100" i="5" a="1"/>
  <c r="J100" i="5" s="1"/>
  <c r="G101" i="5"/>
  <c r="J101" i="5" a="1"/>
  <c r="J101" i="5" s="1"/>
  <c r="G95" i="5"/>
  <c r="J95" i="5" a="1"/>
  <c r="J95" i="5" s="1"/>
  <c r="K95" i="5" a="1"/>
  <c r="K95" i="5" s="1"/>
  <c r="G96" i="5"/>
  <c r="J96" i="5" a="1"/>
  <c r="J96" i="5" s="1"/>
  <c r="K96" i="5" a="1"/>
  <c r="K96" i="5" s="1"/>
  <c r="G97" i="5"/>
  <c r="K97" i="5" a="1"/>
  <c r="K97" i="5" s="1"/>
  <c r="J97" i="5" a="1"/>
  <c r="J97" i="5" s="1"/>
  <c r="G91" i="5"/>
  <c r="J91" i="5" a="1"/>
  <c r="J91" i="5" s="1"/>
  <c r="K91" i="5" a="1"/>
  <c r="K91" i="5" s="1"/>
  <c r="G92" i="5"/>
  <c r="K92" i="5" a="1"/>
  <c r="K92" i="5" s="1"/>
  <c r="J92" i="5" a="1"/>
  <c r="J92" i="5" s="1"/>
  <c r="G93" i="5"/>
  <c r="K93" i="5" a="1"/>
  <c r="K93" i="5" s="1"/>
  <c r="J93" i="5" a="1"/>
  <c r="J93" i="5" s="1"/>
  <c r="G87" i="5"/>
  <c r="K87" i="5" a="1"/>
  <c r="K87" i="5" s="1"/>
  <c r="J87" i="5" a="1"/>
  <c r="J87" i="5" s="1"/>
  <c r="G88" i="5"/>
  <c r="J88" i="5" a="1"/>
  <c r="J88" i="5" s="1"/>
  <c r="K88" i="5" a="1"/>
  <c r="K88" i="5" s="1"/>
  <c r="G89" i="5"/>
  <c r="J89" i="5" a="1"/>
  <c r="J89" i="5" s="1"/>
  <c r="K89" i="5" a="1"/>
  <c r="K89" i="5" s="1"/>
  <c r="G83" i="5"/>
  <c r="K83" i="5" a="1"/>
  <c r="K83" i="5" s="1"/>
  <c r="J83" i="5" a="1"/>
  <c r="J83" i="5" s="1"/>
  <c r="G84" i="5"/>
  <c r="K84" i="5" a="1"/>
  <c r="K84" i="5" s="1"/>
  <c r="J84" i="5" a="1"/>
  <c r="J84" i="5" s="1"/>
  <c r="G85" i="5"/>
  <c r="K85" i="5" a="1"/>
  <c r="K85" i="5" s="1"/>
  <c r="J85" i="5" a="1"/>
  <c r="J85" i="5" s="1"/>
  <c r="G80" i="5"/>
  <c r="K80" i="5" a="1"/>
  <c r="K80" i="5" s="1"/>
  <c r="J80" i="5" a="1"/>
  <c r="J80" i="5" s="1"/>
  <c r="G81" i="5"/>
  <c r="J81" i="5" a="1"/>
  <c r="J81" i="5" s="1"/>
  <c r="K81" i="5" a="1"/>
  <c r="K81" i="5" s="1"/>
  <c r="G79" i="5"/>
  <c r="J79" i="5" a="1"/>
  <c r="J79" i="5" s="1"/>
  <c r="K79" i="5" a="1"/>
  <c r="K79" i="5" s="1"/>
  <c r="G75" i="5"/>
  <c r="K75" i="5" a="1"/>
  <c r="K75" i="5" s="1"/>
  <c r="J75" i="5" a="1"/>
  <c r="J75" i="5" s="1"/>
  <c r="G76" i="5"/>
  <c r="J76" i="5" a="1"/>
  <c r="J76" i="5" s="1"/>
  <c r="K76" i="5" a="1"/>
  <c r="K76" i="5" s="1"/>
  <c r="G77" i="5"/>
  <c r="J77" i="5" a="1"/>
  <c r="J77" i="5" s="1"/>
  <c r="K77" i="5" a="1"/>
  <c r="K77" i="5" s="1"/>
  <c r="G71" i="5"/>
  <c r="J71" i="5" a="1"/>
  <c r="J71" i="5" s="1"/>
  <c r="K71" i="5" a="1"/>
  <c r="K71" i="5" s="1"/>
  <c r="G72" i="5"/>
  <c r="J72" i="5" a="1"/>
  <c r="J72" i="5" s="1"/>
  <c r="G73" i="5"/>
  <c r="J73" i="5" a="1"/>
  <c r="J73" i="5" s="1"/>
  <c r="G67" i="5"/>
  <c r="J67" i="5" a="1"/>
  <c r="J67" i="5" s="1"/>
  <c r="G68" i="5"/>
  <c r="K68" i="5" a="1"/>
  <c r="K68" i="5" s="1"/>
  <c r="J68" i="5" a="1"/>
  <c r="J68" i="5" s="1"/>
  <c r="G69" i="5"/>
  <c r="J69" i="5" a="1"/>
  <c r="J69" i="5" s="1"/>
  <c r="K69" i="5" a="1"/>
  <c r="K69" i="5" s="1"/>
  <c r="G63" i="5"/>
  <c r="K63" i="5" a="1"/>
  <c r="K63" i="5" s="1"/>
  <c r="J63" i="5" a="1"/>
  <c r="J63" i="5" s="1"/>
  <c r="G64" i="5"/>
  <c r="K64" i="5" a="1"/>
  <c r="K64" i="5" s="1"/>
  <c r="J64" i="5" a="1"/>
  <c r="J64" i="5" s="1"/>
  <c r="G65" i="5"/>
  <c r="K65" i="5" a="1"/>
  <c r="K65" i="5" s="1"/>
  <c r="J65" i="5" a="1"/>
  <c r="J65" i="5" s="1"/>
  <c r="G59" i="5"/>
  <c r="J59" i="5" a="1"/>
  <c r="J59" i="5" s="1"/>
  <c r="K59" i="5" a="1"/>
  <c r="K59" i="5" s="1"/>
  <c r="G60" i="5"/>
  <c r="J60" i="5" a="1"/>
  <c r="J60" i="5" s="1"/>
  <c r="K60" i="5" a="1"/>
  <c r="K60" i="5" s="1"/>
  <c r="G61" i="5"/>
  <c r="J61" i="5" a="1"/>
  <c r="J61" i="5" s="1"/>
  <c r="K61" i="5" a="1"/>
  <c r="K61" i="5" s="1"/>
  <c r="G57" i="5"/>
  <c r="J57" i="5" a="1"/>
  <c r="J57" i="5" s="1"/>
  <c r="K57" i="5" a="1"/>
  <c r="K57" i="5" s="1"/>
  <c r="G56" i="5"/>
  <c r="J56" i="5" a="1"/>
  <c r="J56" i="5" s="1"/>
  <c r="K56" i="5" a="1"/>
  <c r="K56" i="5" s="1"/>
  <c r="G55" i="5"/>
  <c r="K55" i="5" a="1"/>
  <c r="K55" i="5" s="1"/>
  <c r="J55" i="5" a="1"/>
  <c r="J55" i="5" s="1"/>
  <c r="R13" i="4"/>
  <c r="Q13" i="4"/>
  <c r="X13" i="4"/>
  <c r="Y13" i="4" s="1"/>
  <c r="W13" i="4"/>
  <c r="D14" i="4"/>
  <c r="I14" i="4" s="1" a="1"/>
  <c r="I14" i="4" s="1"/>
  <c r="K14" i="4" s="1" a="1"/>
  <c r="K14" i="4" s="1"/>
  <c r="G15" i="4" a="1"/>
  <c r="G15" i="4" s="1"/>
  <c r="E15" i="4" a="1"/>
  <c r="E15" i="4" s="1"/>
  <c r="H15" i="4"/>
  <c r="C16" i="4" a="1"/>
  <c r="C16" i="4" s="1"/>
  <c r="J16" i="4" s="1" a="1"/>
  <c r="J16" i="4" s="1"/>
  <c r="F14" i="4"/>
  <c r="L14" i="4" a="1"/>
  <c r="L14" i="4" s="1"/>
  <c r="Q7" i="2"/>
  <c r="Q6" i="2" s="1"/>
  <c r="P56" i="5" l="1"/>
  <c r="P89" i="5"/>
  <c r="P57" i="5"/>
  <c r="P55" i="5"/>
  <c r="P81" i="5"/>
  <c r="P77" i="5"/>
  <c r="P69" i="5"/>
  <c r="P91" i="5"/>
  <c r="P79" i="5"/>
  <c r="P80" i="5"/>
  <c r="M72" i="5"/>
  <c r="P72" i="5"/>
  <c r="M73" i="5"/>
  <c r="P73" i="5"/>
  <c r="M67" i="5"/>
  <c r="P67" i="5"/>
  <c r="P88" i="5"/>
  <c r="M99" i="5"/>
  <c r="P99" i="5"/>
  <c r="M100" i="5"/>
  <c r="P100" i="5"/>
  <c r="M101" i="5"/>
  <c r="P101" i="5"/>
  <c r="M95" i="5"/>
  <c r="P95" i="5"/>
  <c r="M96" i="5"/>
  <c r="P96" i="5"/>
  <c r="M97" i="5"/>
  <c r="P97" i="5"/>
  <c r="M92" i="5"/>
  <c r="P92" i="5"/>
  <c r="M93" i="5"/>
  <c r="P93" i="5"/>
  <c r="M87" i="5"/>
  <c r="P87" i="5"/>
  <c r="M83" i="5"/>
  <c r="P83" i="5"/>
  <c r="M84" i="5"/>
  <c r="P84" i="5"/>
  <c r="M85" i="5"/>
  <c r="P85" i="5"/>
  <c r="M75" i="5"/>
  <c r="P75" i="5"/>
  <c r="M76" i="5"/>
  <c r="P76" i="5"/>
  <c r="M71" i="5"/>
  <c r="P71" i="5"/>
  <c r="M68" i="5"/>
  <c r="P68" i="5"/>
  <c r="M63" i="5"/>
  <c r="P63" i="5"/>
  <c r="M64" i="5"/>
  <c r="P64" i="5"/>
  <c r="M65" i="5"/>
  <c r="P65" i="5"/>
  <c r="M59" i="5"/>
  <c r="P59" i="5"/>
  <c r="M60" i="5"/>
  <c r="P60" i="5"/>
  <c r="M61" i="5"/>
  <c r="P61" i="5"/>
  <c r="M55" i="5"/>
  <c r="L91" i="5"/>
  <c r="M91" i="5"/>
  <c r="L88" i="5"/>
  <c r="M88" i="5"/>
  <c r="L89" i="5"/>
  <c r="M89" i="5"/>
  <c r="L80" i="5"/>
  <c r="M80" i="5"/>
  <c r="L81" i="5"/>
  <c r="M81" i="5"/>
  <c r="L79" i="5"/>
  <c r="M79" i="5"/>
  <c r="L77" i="5"/>
  <c r="M77" i="5"/>
  <c r="L69" i="5"/>
  <c r="M69" i="5"/>
  <c r="L60" i="5"/>
  <c r="L61" i="5"/>
  <c r="L57" i="5"/>
  <c r="M57" i="5"/>
  <c r="L56" i="5"/>
  <c r="M56" i="5"/>
  <c r="L92" i="5"/>
  <c r="L97" i="5"/>
  <c r="L83" i="5"/>
  <c r="L84" i="5"/>
  <c r="L85" i="5"/>
  <c r="L68" i="5"/>
  <c r="L75" i="5"/>
  <c r="L76" i="5"/>
  <c r="L95" i="5"/>
  <c r="L96" i="5"/>
  <c r="L63" i="5"/>
  <c r="L64" i="5"/>
  <c r="L65" i="5"/>
  <c r="L59" i="5"/>
  <c r="L72" i="5"/>
  <c r="L99" i="5"/>
  <c r="L100" i="5"/>
  <c r="L101" i="5"/>
  <c r="L93" i="5"/>
  <c r="L87" i="5"/>
  <c r="L71" i="5"/>
  <c r="L73" i="5"/>
  <c r="L67" i="5"/>
  <c r="L55" i="5"/>
  <c r="D15" i="4"/>
  <c r="I15" i="4" s="1" a="1"/>
  <c r="I15" i="4" s="1"/>
  <c r="K15" i="4" s="1" a="1"/>
  <c r="K15" i="4" s="1"/>
  <c r="L15" i="4" a="1"/>
  <c r="L15" i="4" s="1"/>
  <c r="F15" i="4"/>
  <c r="G16" i="4" a="1"/>
  <c r="G16" i="4" s="1"/>
  <c r="E16" i="4" a="1"/>
  <c r="E16" i="4" s="1"/>
  <c r="H16" i="4"/>
  <c r="C17" i="4" a="1"/>
  <c r="C17" i="4" s="1"/>
  <c r="J17" i="4" s="1" a="1"/>
  <c r="J17" i="4" s="1"/>
  <c r="M14" i="4" a="1"/>
  <c r="M14" i="4" s="1"/>
  <c r="N14" i="4" a="1"/>
  <c r="N14" i="4" s="1"/>
  <c r="Q91" i="5" l="1"/>
  <c r="R91" i="5"/>
  <c r="R88" i="5"/>
  <c r="Q88" i="5"/>
  <c r="Q89" i="5"/>
  <c r="R89" i="5"/>
  <c r="Q80" i="5"/>
  <c r="R80" i="5"/>
  <c r="Q81" i="5"/>
  <c r="R81" i="5"/>
  <c r="R79" i="5"/>
  <c r="Q79" i="5"/>
  <c r="R77" i="5"/>
  <c r="Q77" i="5"/>
  <c r="R69" i="5"/>
  <c r="Q69" i="5"/>
  <c r="R60" i="5"/>
  <c r="Q60" i="5"/>
  <c r="R61" i="5"/>
  <c r="Q61" i="5"/>
  <c r="R92" i="5"/>
  <c r="Q92" i="5"/>
  <c r="R97" i="5"/>
  <c r="Q97" i="5"/>
  <c r="R83" i="5"/>
  <c r="Q83" i="5"/>
  <c r="Q84" i="5"/>
  <c r="R84" i="5"/>
  <c r="R85" i="5"/>
  <c r="Q85" i="5"/>
  <c r="Q68" i="5"/>
  <c r="R68" i="5"/>
  <c r="R75" i="5"/>
  <c r="Q75" i="5"/>
  <c r="R76" i="5"/>
  <c r="Q76" i="5"/>
  <c r="Q95" i="5"/>
  <c r="R95" i="5"/>
  <c r="Q96" i="5"/>
  <c r="R96" i="5"/>
  <c r="Q63" i="5"/>
  <c r="R63" i="5"/>
  <c r="Q64" i="5"/>
  <c r="R64" i="5"/>
  <c r="Q65" i="5"/>
  <c r="R65" i="5"/>
  <c r="R59" i="5"/>
  <c r="Q59" i="5"/>
  <c r="R72" i="5"/>
  <c r="Q72" i="5"/>
  <c r="Q99" i="5"/>
  <c r="R99" i="5"/>
  <c r="R100" i="5"/>
  <c r="Q100" i="5"/>
  <c r="Q101" i="5"/>
  <c r="R101" i="5"/>
  <c r="Q93" i="5"/>
  <c r="R93" i="5"/>
  <c r="Q87" i="5"/>
  <c r="R87" i="5"/>
  <c r="R71" i="5"/>
  <c r="Q71" i="5"/>
  <c r="R73" i="5"/>
  <c r="Q73" i="5"/>
  <c r="R67" i="5"/>
  <c r="Q67" i="5"/>
  <c r="R57" i="5"/>
  <c r="Q57" i="5"/>
  <c r="Q56" i="5"/>
  <c r="R56" i="5"/>
  <c r="Q55" i="5"/>
  <c r="R55" i="5"/>
  <c r="N99" i="5"/>
  <c r="O99" i="5"/>
  <c r="N100" i="5"/>
  <c r="O100" i="5"/>
  <c r="N101" i="5"/>
  <c r="O101" i="5"/>
  <c r="N97" i="5"/>
  <c r="O97" i="5"/>
  <c r="O95" i="5"/>
  <c r="N95" i="5"/>
  <c r="N96" i="5"/>
  <c r="O96" i="5"/>
  <c r="O91" i="5"/>
  <c r="N91" i="5"/>
  <c r="N92" i="5"/>
  <c r="O92" i="5"/>
  <c r="N93" i="5"/>
  <c r="O93" i="5"/>
  <c r="O88" i="5"/>
  <c r="N88" i="5"/>
  <c r="O89" i="5"/>
  <c r="N89" i="5"/>
  <c r="O87" i="5"/>
  <c r="N87" i="5"/>
  <c r="N83" i="5"/>
  <c r="O83" i="5"/>
  <c r="O84" i="5"/>
  <c r="N84" i="5"/>
  <c r="N85" i="5"/>
  <c r="O85" i="5"/>
  <c r="O80" i="5"/>
  <c r="N80" i="5"/>
  <c r="N81" i="5"/>
  <c r="O81" i="5"/>
  <c r="O79" i="5"/>
  <c r="N79" i="5"/>
  <c r="O77" i="5"/>
  <c r="N77" i="5"/>
  <c r="N75" i="5"/>
  <c r="O75" i="5"/>
  <c r="N76" i="5"/>
  <c r="O76" i="5"/>
  <c r="N72" i="5"/>
  <c r="O72" i="5"/>
  <c r="O71" i="5"/>
  <c r="N71" i="5"/>
  <c r="O73" i="5"/>
  <c r="N73" i="5"/>
  <c r="O69" i="5"/>
  <c r="N69" i="5"/>
  <c r="N68" i="5"/>
  <c r="O68" i="5"/>
  <c r="N67" i="5"/>
  <c r="O67" i="5"/>
  <c r="N63" i="5"/>
  <c r="O63" i="5"/>
  <c r="N64" i="5"/>
  <c r="O64" i="5"/>
  <c r="N65" i="5"/>
  <c r="O65" i="5"/>
  <c r="O60" i="5"/>
  <c r="N60" i="5"/>
  <c r="N61" i="5"/>
  <c r="O61" i="5"/>
  <c r="N59" i="5"/>
  <c r="O59" i="5"/>
  <c r="N57" i="5"/>
  <c r="O57" i="5"/>
  <c r="N56" i="5"/>
  <c r="O56" i="5"/>
  <c r="N55" i="5"/>
  <c r="O55" i="5"/>
  <c r="T14" i="4"/>
  <c r="O14" i="4"/>
  <c r="V14" i="4"/>
  <c r="O15" i="4"/>
  <c r="M15" i="4" a="1"/>
  <c r="M15" i="4" s="1"/>
  <c r="Q15" i="4"/>
  <c r="N15" i="4" a="1"/>
  <c r="N15" i="4" s="1"/>
  <c r="P15" i="4"/>
  <c r="R15" i="4"/>
  <c r="S15" i="4"/>
  <c r="T15" i="4"/>
  <c r="U15" i="4"/>
  <c r="V15" i="4"/>
  <c r="W15" i="4"/>
  <c r="X15" i="4"/>
  <c r="K16" i="4" a="1"/>
  <c r="K16" i="4" s="1"/>
  <c r="F16" i="4"/>
  <c r="D16" i="4"/>
  <c r="I16" i="4" s="1" a="1"/>
  <c r="I16" i="4" s="1"/>
  <c r="L16" i="4" a="1"/>
  <c r="L16" i="4" s="1"/>
  <c r="Y16" i="4"/>
  <c r="Z16" i="4"/>
  <c r="AA16" i="4"/>
  <c r="AC16" i="4"/>
  <c r="AD16" i="4"/>
  <c r="AB16" i="4"/>
  <c r="G17" i="4" a="1"/>
  <c r="G17" i="4" s="1"/>
  <c r="E17" i="4" a="1"/>
  <c r="E17" i="4" s="1"/>
  <c r="H17" i="4"/>
  <c r="C18" i="4" a="1"/>
  <c r="C18" i="4" s="1"/>
  <c r="J18" i="4" s="1" a="1"/>
  <c r="J18" i="4" s="1"/>
  <c r="Q14" i="4"/>
  <c r="AI35" i="4"/>
  <c r="P14" i="4"/>
  <c r="R14" i="4"/>
  <c r="S14" i="4" l="1"/>
  <c r="O16" i="4"/>
  <c r="Q16" i="4"/>
  <c r="M16" i="4" a="1"/>
  <c r="M16" i="4" s="1"/>
  <c r="N16" i="4" a="1"/>
  <c r="N16" i="4" s="1"/>
  <c r="P16" i="4"/>
  <c r="R16" i="4"/>
  <c r="S16" i="4"/>
  <c r="T16" i="4"/>
  <c r="U16" i="4"/>
  <c r="V16" i="4"/>
  <c r="W16" i="4"/>
  <c r="X16" i="4"/>
  <c r="L17" i="4" a="1"/>
  <c r="L17" i="4" s="1"/>
  <c r="D17" i="4"/>
  <c r="I17" i="4" s="1" a="1"/>
  <c r="I17" i="4" s="1"/>
  <c r="F17" i="4"/>
  <c r="K17" i="4" a="1"/>
  <c r="K17" i="4" s="1"/>
  <c r="Z17" i="4"/>
  <c r="AA17" i="4"/>
  <c r="AC17" i="4"/>
  <c r="AD17" i="4"/>
  <c r="AB17" i="4"/>
  <c r="E18" i="4" a="1"/>
  <c r="E18" i="4" s="1"/>
  <c r="G18" i="4" a="1"/>
  <c r="G18" i="4" s="1"/>
  <c r="H18" i="4"/>
  <c r="C19" i="4" a="1"/>
  <c r="C19" i="4" s="1"/>
  <c r="J19" i="4" s="1" a="1"/>
  <c r="J19" i="4" s="1"/>
  <c r="U14" i="4"/>
  <c r="Q17" i="4" l="1"/>
  <c r="M17" i="4" a="1"/>
  <c r="M17" i="4" s="1"/>
  <c r="O17" i="4"/>
  <c r="P17" i="4"/>
  <c r="N17" i="4" a="1"/>
  <c r="N17" i="4" s="1"/>
  <c r="R17" i="4"/>
  <c r="S17" i="4"/>
  <c r="T17" i="4"/>
  <c r="U17" i="4"/>
  <c r="V17" i="4"/>
  <c r="W17" i="4"/>
  <c r="X17" i="4"/>
  <c r="D18" i="4"/>
  <c r="I18" i="4" s="1" a="1"/>
  <c r="I18" i="4" s="1"/>
  <c r="K18" i="4" s="1" a="1"/>
  <c r="K18" i="4" s="1"/>
  <c r="F18" i="4"/>
  <c r="L18" i="4" a="1"/>
  <c r="L18" i="4" s="1"/>
  <c r="G19" i="4" a="1"/>
  <c r="G19" i="4" s="1"/>
  <c r="E19" i="4" a="1"/>
  <c r="E19" i="4" s="1"/>
  <c r="H19" i="4"/>
  <c r="C20" i="4" a="1"/>
  <c r="C20" i="4" s="1"/>
  <c r="J20" i="4" s="1" a="1"/>
  <c r="J20" i="4" s="1"/>
  <c r="W14" i="4"/>
  <c r="X14" i="4" l="1"/>
  <c r="Y17" i="4" s="1"/>
  <c r="M18" i="4" a="1"/>
  <c r="M18" i="4" s="1"/>
  <c r="D19" i="4"/>
  <c r="I19" i="4" s="1" a="1"/>
  <c r="I19" i="4" s="1"/>
  <c r="K19" i="4" s="1" a="1"/>
  <c r="K19" i="4" s="1"/>
  <c r="F19" i="4"/>
  <c r="L19" i="4" a="1"/>
  <c r="L19" i="4" s="1"/>
  <c r="G20" i="4" a="1"/>
  <c r="G20" i="4" s="1"/>
  <c r="E20" i="4" a="1"/>
  <c r="E20" i="4" s="1"/>
  <c r="H20" i="4"/>
  <c r="C21" i="4" a="1"/>
  <c r="C21" i="4" s="1"/>
  <c r="J21" i="4" s="1" a="1"/>
  <c r="J21" i="4" s="1"/>
  <c r="F41" i="5" l="1" a="1"/>
  <c r="F41" i="5" s="1"/>
  <c r="Z15" i="4"/>
  <c r="AA15" i="4"/>
  <c r="Y15" i="4"/>
  <c r="M19" i="4" a="1"/>
  <c r="M19" i="4" s="1"/>
  <c r="D20" i="4"/>
  <c r="I20" i="4" s="1" a="1"/>
  <c r="I20" i="4" s="1"/>
  <c r="K20" i="4" s="1" a="1"/>
  <c r="K20" i="4" s="1"/>
  <c r="F20" i="4"/>
  <c r="L20" i="4" a="1"/>
  <c r="L20" i="4" s="1"/>
  <c r="E21" i="4" a="1"/>
  <c r="E21" i="4" s="1"/>
  <c r="G21" i="4" a="1"/>
  <c r="G21" i="4" s="1"/>
  <c r="H21" i="4"/>
  <c r="C22" i="4" a="1"/>
  <c r="C22" i="4" s="1"/>
  <c r="V18" i="4"/>
  <c r="AB15" i="4" l="1"/>
  <c r="AJ22" i="4"/>
  <c r="AD15" i="4"/>
  <c r="AC15" i="4"/>
  <c r="J22" i="4" a="1"/>
  <c r="J22" i="4" s="1"/>
  <c r="M20" i="4" a="1"/>
  <c r="M20" i="4" s="1"/>
  <c r="D21" i="4"/>
  <c r="I21" i="4" s="1" a="1"/>
  <c r="I21" i="4" s="1"/>
  <c r="K21" i="4" s="1" a="1"/>
  <c r="K21" i="4" s="1"/>
  <c r="F21" i="4"/>
  <c r="L21" i="4" a="1"/>
  <c r="L21" i="4" s="1"/>
  <c r="G22" i="4" a="1"/>
  <c r="G22" i="4" s="1"/>
  <c r="E22" i="4" a="1"/>
  <c r="E22" i="4" s="1"/>
  <c r="H22" i="4"/>
  <c r="C23" i="4" a="1"/>
  <c r="C23" i="4" s="1"/>
  <c r="V19" i="4"/>
  <c r="J23" i="4" l="1" a="1"/>
  <c r="J23" i="4" s="1"/>
  <c r="M21" i="4" a="1"/>
  <c r="M21" i="4" s="1"/>
  <c r="D22" i="4"/>
  <c r="I22" i="4" s="1" a="1"/>
  <c r="I22" i="4" s="1"/>
  <c r="K22" i="4" s="1" a="1"/>
  <c r="K22" i="4" s="1"/>
  <c r="F22" i="4"/>
  <c r="L22" i="4" a="1"/>
  <c r="L22" i="4" s="1"/>
  <c r="H23" i="4"/>
  <c r="G23" i="4" a="1"/>
  <c r="G23" i="4" s="1"/>
  <c r="E23" i="4" a="1"/>
  <c r="E23" i="4" s="1"/>
  <c r="C24" i="4" a="1"/>
  <c r="C24" i="4" s="1"/>
  <c r="J24" i="4" s="1" a="1"/>
  <c r="J24" i="4" s="1"/>
  <c r="V20" i="4"/>
  <c r="M22" i="4" l="1" a="1"/>
  <c r="M22" i="4" s="1"/>
  <c r="D23" i="4"/>
  <c r="I23" i="4" s="1" a="1"/>
  <c r="I23" i="4" s="1"/>
  <c r="K23" i="4" s="1" a="1"/>
  <c r="K23" i="4" s="1"/>
  <c r="F23" i="4"/>
  <c r="L23" i="4" a="1"/>
  <c r="L23" i="4" s="1"/>
  <c r="H24" i="4"/>
  <c r="E24" i="4" a="1"/>
  <c r="E24" i="4" s="1"/>
  <c r="G24" i="4" a="1"/>
  <c r="G24" i="4" s="1"/>
  <c r="C25" i="4" a="1"/>
  <c r="C25" i="4" s="1"/>
  <c r="V21" i="4"/>
  <c r="J25" i="4" l="1" a="1"/>
  <c r="J25" i="4" s="1"/>
  <c r="M23" i="4" a="1"/>
  <c r="M23" i="4" s="1"/>
  <c r="V23" i="4" s="1"/>
  <c r="D24" i="4"/>
  <c r="I24" i="4" s="1" a="1"/>
  <c r="I24" i="4" s="1"/>
  <c r="K24" i="4" s="1" a="1"/>
  <c r="K24" i="4" s="1"/>
  <c r="F24" i="4"/>
  <c r="L24" i="4" a="1"/>
  <c r="L24" i="4" s="1"/>
  <c r="H25" i="4"/>
  <c r="E25" i="4" a="1"/>
  <c r="E25" i="4" s="1"/>
  <c r="G25" i="4" a="1"/>
  <c r="G25" i="4" s="1"/>
  <c r="C26" i="4" a="1"/>
  <c r="C26" i="4" s="1"/>
  <c r="V22" i="4"/>
  <c r="J26" i="4" l="1" a="1"/>
  <c r="J26" i="4" s="1"/>
  <c r="M24" i="4" a="1"/>
  <c r="M24" i="4" s="1"/>
  <c r="D25" i="4"/>
  <c r="I25" i="4" s="1" a="1"/>
  <c r="I25" i="4" s="1"/>
  <c r="K25" i="4" s="1" a="1"/>
  <c r="K25" i="4" s="1"/>
  <c r="F25" i="4"/>
  <c r="L25" i="4" a="1"/>
  <c r="L25" i="4" s="1"/>
  <c r="H26" i="4"/>
  <c r="E26" i="4" a="1"/>
  <c r="E26" i="4" s="1"/>
  <c r="G26" i="4" a="1"/>
  <c r="G26" i="4" s="1"/>
  <c r="C27" i="4" a="1"/>
  <c r="C27" i="4" s="1"/>
  <c r="J27" i="4" l="1" a="1"/>
  <c r="J27" i="4" s="1"/>
  <c r="M25" i="4" a="1"/>
  <c r="M25" i="4" s="1"/>
  <c r="D26" i="4"/>
  <c r="I26" i="4" s="1" a="1"/>
  <c r="I26" i="4" s="1"/>
  <c r="K26" i="4" s="1" a="1"/>
  <c r="K26" i="4" s="1"/>
  <c r="F26" i="4"/>
  <c r="L26" i="4" a="1"/>
  <c r="L26" i="4" s="1"/>
  <c r="H27" i="4"/>
  <c r="E27" i="4" a="1"/>
  <c r="E27" i="4" s="1"/>
  <c r="G27" i="4" a="1"/>
  <c r="G27" i="4" s="1"/>
  <c r="C28" i="4" a="1"/>
  <c r="C28" i="4" s="1"/>
  <c r="J28" i="4" s="1" a="1"/>
  <c r="J28" i="4" s="1"/>
  <c r="V24" i="4"/>
  <c r="V25" i="4" l="1"/>
  <c r="M26" i="4" a="1"/>
  <c r="M26" i="4" s="1"/>
  <c r="D27" i="4"/>
  <c r="I27" i="4" s="1" a="1"/>
  <c r="I27" i="4" s="1"/>
  <c r="K27" i="4" s="1" a="1"/>
  <c r="K27" i="4" s="1"/>
  <c r="F27" i="4"/>
  <c r="L27" i="4" a="1"/>
  <c r="L27" i="4" s="1"/>
  <c r="E28" i="4" a="1"/>
  <c r="E28" i="4" s="1"/>
  <c r="G28" i="4" a="1"/>
  <c r="G28" i="4" s="1"/>
  <c r="H28" i="4"/>
  <c r="C29" i="4" a="1"/>
  <c r="C29" i="4" s="1"/>
  <c r="J29" i="4" s="1" a="1"/>
  <c r="J29" i="4" s="1"/>
  <c r="M27" i="4" l="1" a="1"/>
  <c r="M27" i="4" s="1"/>
  <c r="D28" i="4"/>
  <c r="I28" i="4" s="1" a="1"/>
  <c r="I28" i="4" s="1"/>
  <c r="K28" i="4" s="1" a="1"/>
  <c r="K28" i="4" s="1"/>
  <c r="F28" i="4"/>
  <c r="L28" i="4" a="1"/>
  <c r="L28" i="4" s="1"/>
  <c r="G29" i="4" a="1"/>
  <c r="G29" i="4" s="1"/>
  <c r="E29" i="4" a="1"/>
  <c r="E29" i="4" s="1"/>
  <c r="H29" i="4"/>
  <c r="C30" i="4" a="1"/>
  <c r="C30" i="4" s="1"/>
  <c r="V26" i="4"/>
  <c r="J30" i="4" l="1" a="1"/>
  <c r="J30" i="4" s="1"/>
  <c r="M28" i="4" a="1"/>
  <c r="M28" i="4" s="1"/>
  <c r="D29" i="4"/>
  <c r="I29" i="4" s="1" a="1"/>
  <c r="I29" i="4" s="1"/>
  <c r="K29" i="4" s="1" a="1"/>
  <c r="K29" i="4" s="1"/>
  <c r="F29" i="4"/>
  <c r="L29" i="4" a="1"/>
  <c r="L29" i="4" s="1"/>
  <c r="E30" i="4" a="1"/>
  <c r="E30" i="4" s="1"/>
  <c r="G30" i="4" a="1"/>
  <c r="G30" i="4" s="1"/>
  <c r="H30" i="4"/>
  <c r="C31" i="4" a="1"/>
  <c r="C31" i="4" s="1"/>
  <c r="V27" i="4"/>
  <c r="J31" i="4" l="1" a="1"/>
  <c r="J31" i="4" s="1"/>
  <c r="M29" i="4" a="1"/>
  <c r="M29" i="4" s="1"/>
  <c r="D30" i="4"/>
  <c r="I30" i="4" s="1" a="1"/>
  <c r="I30" i="4" s="1"/>
  <c r="K30" i="4" s="1" a="1"/>
  <c r="K30" i="4" s="1"/>
  <c r="F30" i="4"/>
  <c r="L30" i="4" a="1"/>
  <c r="L30" i="4" s="1"/>
  <c r="E31" i="4" a="1"/>
  <c r="E31" i="4" s="1"/>
  <c r="G31" i="4" a="1"/>
  <c r="G31" i="4" s="1"/>
  <c r="H31" i="4"/>
  <c r="C32" i="4" a="1"/>
  <c r="C32" i="4" s="1"/>
  <c r="V28" i="4"/>
  <c r="J32" i="4" l="1" a="1"/>
  <c r="J32" i="4" s="1"/>
  <c r="M30" i="4" a="1"/>
  <c r="M30" i="4" s="1"/>
  <c r="V30" i="4" s="1"/>
  <c r="D31" i="4"/>
  <c r="I31" i="4" s="1" a="1"/>
  <c r="I31" i="4" s="1"/>
  <c r="K31" i="4" s="1" a="1"/>
  <c r="K31" i="4" s="1"/>
  <c r="L31" i="4" a="1"/>
  <c r="L31" i="4" s="1"/>
  <c r="F31" i="4"/>
  <c r="E32" i="4" a="1"/>
  <c r="E32" i="4" s="1"/>
  <c r="G32" i="4" a="1"/>
  <c r="G32" i="4" s="1"/>
  <c r="H32" i="4"/>
  <c r="C33" i="4" a="1"/>
  <c r="C33" i="4" s="1"/>
  <c r="V29" i="4"/>
  <c r="J33" i="4" l="1" a="1"/>
  <c r="J33" i="4" s="1"/>
  <c r="M31" i="4" a="1"/>
  <c r="M31" i="4" s="1"/>
  <c r="L32" i="4" a="1"/>
  <c r="L32" i="4" s="1"/>
  <c r="F32" i="4"/>
  <c r="D32" i="4"/>
  <c r="I32" i="4" s="1" a="1"/>
  <c r="I32" i="4" s="1"/>
  <c r="K32" i="4" s="1" a="1"/>
  <c r="K32" i="4" s="1"/>
  <c r="E33" i="4" a="1"/>
  <c r="E33" i="4" s="1"/>
  <c r="G33" i="4" a="1"/>
  <c r="G33" i="4" s="1"/>
  <c r="H33" i="4"/>
  <c r="C34" i="4" a="1"/>
  <c r="C34" i="4" s="1"/>
  <c r="AP33" i="4"/>
  <c r="AQ33" i="4"/>
  <c r="J34" i="4" l="1" a="1"/>
  <c r="J34" i="4" s="1"/>
  <c r="V31" i="4"/>
  <c r="M32" i="4" a="1"/>
  <c r="M32" i="4" s="1"/>
  <c r="L33" i="4" a="1"/>
  <c r="L33" i="4" s="1"/>
  <c r="F33" i="4"/>
  <c r="D33" i="4"/>
  <c r="I33" i="4" s="1" a="1"/>
  <c r="I33" i="4" s="1"/>
  <c r="K33" i="4" s="1" a="1"/>
  <c r="K33" i="4" s="1"/>
  <c r="E34" i="4" a="1"/>
  <c r="E34" i="4" s="1"/>
  <c r="G34" i="4" a="1"/>
  <c r="G34" i="4" s="1"/>
  <c r="H34" i="4"/>
  <c r="C35" i="4" a="1"/>
  <c r="C35" i="4" s="1"/>
  <c r="AQ30" i="4"/>
  <c r="AP30" i="4"/>
  <c r="AP31" i="4"/>
  <c r="AQ31" i="4"/>
  <c r="AP32" i="4"/>
  <c r="AQ32" i="4"/>
  <c r="N28" i="4" l="1" a="1"/>
  <c r="N28" i="4" s="1"/>
  <c r="N22" i="4" a="1"/>
  <c r="N22" i="4" s="1"/>
  <c r="N25" i="4" a="1"/>
  <c r="N25" i="4" s="1"/>
  <c r="N27" i="4" a="1"/>
  <c r="N27" i="4" s="1"/>
  <c r="N19" i="4" a="1"/>
  <c r="N19" i="4" s="1"/>
  <c r="N30" i="4" a="1"/>
  <c r="N30" i="4" s="1"/>
  <c r="J35" i="4" a="1"/>
  <c r="J35" i="4" s="1"/>
  <c r="N23" i="4" a="1"/>
  <c r="N23" i="4" s="1"/>
  <c r="N32" i="4" a="1"/>
  <c r="N32" i="4" s="1"/>
  <c r="T32" i="4" s="1"/>
  <c r="N26" i="4" a="1"/>
  <c r="N26" i="4" s="1"/>
  <c r="N29" i="4" a="1"/>
  <c r="N29" i="4" s="1"/>
  <c r="N31" i="4" a="1"/>
  <c r="N31" i="4" s="1"/>
  <c r="N24" i="4" a="1"/>
  <c r="N24" i="4" s="1"/>
  <c r="V32" i="4"/>
  <c r="M33" i="4" a="1"/>
  <c r="M33" i="4" s="1"/>
  <c r="N33" i="4" a="1"/>
  <c r="N33" i="4" s="1"/>
  <c r="D34" i="4"/>
  <c r="I34" i="4" s="1" a="1"/>
  <c r="I34" i="4" s="1"/>
  <c r="K34" i="4" s="1" a="1"/>
  <c r="K34" i="4" s="1"/>
  <c r="F34" i="4"/>
  <c r="L34" i="4" a="1"/>
  <c r="L34" i="4" s="1"/>
  <c r="E35" i="4" a="1"/>
  <c r="E35" i="4" s="1"/>
  <c r="G35" i="4" a="1"/>
  <c r="G35" i="4" s="1"/>
  <c r="H35" i="4"/>
  <c r="C36" i="4" a="1"/>
  <c r="C36" i="4" s="1"/>
  <c r="J36" i="4" s="1" a="1"/>
  <c r="J36" i="4" s="1"/>
  <c r="O28" i="4" l="1"/>
  <c r="T28" i="4"/>
  <c r="Q28" i="4"/>
  <c r="Q22" i="4"/>
  <c r="T22" i="4"/>
  <c r="O22" i="4"/>
  <c r="Q25" i="4"/>
  <c r="T25" i="4"/>
  <c r="O25" i="4"/>
  <c r="Q27" i="4"/>
  <c r="O27" i="4"/>
  <c r="T27" i="4"/>
  <c r="O19" i="4"/>
  <c r="T19" i="4"/>
  <c r="Q19" i="4"/>
  <c r="T30" i="4"/>
  <c r="Q30" i="4"/>
  <c r="O30" i="4"/>
  <c r="T26" i="4"/>
  <c r="O26" i="4"/>
  <c r="Q26" i="4"/>
  <c r="O29" i="4"/>
  <c r="T29" i="4"/>
  <c r="Q29" i="4"/>
  <c r="T31" i="4"/>
  <c r="Q31" i="4"/>
  <c r="O31" i="4"/>
  <c r="T24" i="4"/>
  <c r="O24" i="4"/>
  <c r="Q24" i="4"/>
  <c r="Q23" i="4"/>
  <c r="T23" i="4"/>
  <c r="O23" i="4"/>
  <c r="Q32" i="4"/>
  <c r="O32" i="4"/>
  <c r="T33" i="4"/>
  <c r="V33" i="4"/>
  <c r="O33" i="4"/>
  <c r="Q33" i="4"/>
  <c r="N34" i="4" a="1"/>
  <c r="N34" i="4" s="1"/>
  <c r="M34" i="4" a="1"/>
  <c r="M34" i="4" s="1"/>
  <c r="D35" i="4"/>
  <c r="I35" i="4" s="1" a="1"/>
  <c r="I35" i="4" s="1"/>
  <c r="K35" i="4" s="1" a="1"/>
  <c r="K35" i="4" s="1"/>
  <c r="L35" i="4" a="1"/>
  <c r="L35" i="4" s="1"/>
  <c r="F35" i="4"/>
  <c r="E36" i="4" a="1"/>
  <c r="E36" i="4" s="1"/>
  <c r="G36" i="4" a="1"/>
  <c r="G36" i="4" s="1"/>
  <c r="H36" i="4"/>
  <c r="C37" i="4" a="1"/>
  <c r="C37" i="4" s="1"/>
  <c r="J37" i="4" s="1" a="1"/>
  <c r="J37" i="4" s="1"/>
  <c r="N35" i="4" l="1" a="1"/>
  <c r="N35" i="4" s="1"/>
  <c r="M35" i="4" a="1"/>
  <c r="M35" i="4" s="1"/>
  <c r="V35" i="4" s="1"/>
  <c r="D36" i="4"/>
  <c r="I36" i="4" s="1" a="1"/>
  <c r="I36" i="4" s="1"/>
  <c r="K36" i="4" s="1" a="1"/>
  <c r="K36" i="4" s="1"/>
  <c r="F36" i="4"/>
  <c r="L36" i="4" a="1"/>
  <c r="L36" i="4" s="1"/>
  <c r="E37" i="4" a="1"/>
  <c r="E37" i="4" s="1"/>
  <c r="H37" i="4"/>
  <c r="G37" i="4" a="1"/>
  <c r="G37" i="4" s="1"/>
  <c r="C38" i="4" a="1"/>
  <c r="C38" i="4" s="1"/>
  <c r="J38" i="4" s="1" a="1"/>
  <c r="J38" i="4" s="1"/>
  <c r="Q34" i="4"/>
  <c r="O34" i="4"/>
  <c r="T34" i="4"/>
  <c r="V34" i="4"/>
  <c r="P28" i="4"/>
  <c r="P23" i="4"/>
  <c r="R28" i="4"/>
  <c r="P22" i="4"/>
  <c r="R23" i="4"/>
  <c r="P34" i="4"/>
  <c r="P30" i="4"/>
  <c r="P31" i="4"/>
  <c r="P24" i="4"/>
  <c r="P33" i="4"/>
  <c r="R31" i="4"/>
  <c r="R24" i="4"/>
  <c r="R22" i="4"/>
  <c r="R30" i="4"/>
  <c r="R32" i="4"/>
  <c r="R26" i="4"/>
  <c r="P26" i="4"/>
  <c r="R27" i="4"/>
  <c r="P29" i="4"/>
  <c r="R25" i="4"/>
  <c r="P32" i="4"/>
  <c r="P25" i="4"/>
  <c r="P27" i="4"/>
  <c r="R19" i="4"/>
  <c r="P19" i="4"/>
  <c r="R33" i="4"/>
  <c r="R34" i="4"/>
  <c r="R29" i="4"/>
  <c r="S24" i="4" l="1"/>
  <c r="S29" i="4"/>
  <c r="S31" i="4"/>
  <c r="S25" i="4"/>
  <c r="S34" i="4"/>
  <c r="S28" i="4"/>
  <c r="S33" i="4"/>
  <c r="S26" i="4"/>
  <c r="S19" i="4"/>
  <c r="S22" i="4"/>
  <c r="S27" i="4"/>
  <c r="S30" i="4"/>
  <c r="S23" i="4"/>
  <c r="S32" i="4"/>
  <c r="T35" i="4"/>
  <c r="Q35" i="4"/>
  <c r="O35" i="4"/>
  <c r="N36" i="4" a="1"/>
  <c r="N36" i="4" s="1"/>
  <c r="M36" i="4" a="1"/>
  <c r="M36" i="4" s="1"/>
  <c r="O36" i="4"/>
  <c r="P36" i="4" s="1"/>
  <c r="S36" i="4" s="1"/>
  <c r="Q36" i="4"/>
  <c r="R36" i="4"/>
  <c r="F37" i="4"/>
  <c r="D37" i="4"/>
  <c r="I37" i="4" s="1" a="1"/>
  <c r="I37" i="4" s="1"/>
  <c r="K37" i="4" a="1"/>
  <c r="K37" i="4" s="1"/>
  <c r="L37" i="4" a="1"/>
  <c r="L37" i="4" s="1"/>
  <c r="E38" i="4" a="1"/>
  <c r="E38" i="4" s="1"/>
  <c r="G38" i="4" a="1"/>
  <c r="G38" i="4" s="1"/>
  <c r="H38" i="4"/>
  <c r="C39" i="4" a="1"/>
  <c r="C39" i="4" s="1"/>
  <c r="J39" i="4" s="1" a="1"/>
  <c r="J39" i="4" s="1"/>
  <c r="R35" i="4"/>
  <c r="P35" i="4"/>
  <c r="S35" i="4" l="1"/>
  <c r="T36" i="4"/>
  <c r="U36" i="4" s="1"/>
  <c r="W36" i="4" s="1"/>
  <c r="X36" i="4" s="1"/>
  <c r="V36" i="4"/>
  <c r="N37" i="4" a="1"/>
  <c r="N37" i="4" s="1"/>
  <c r="M37" i="4" a="1"/>
  <c r="M37" i="4" s="1"/>
  <c r="F38" i="4"/>
  <c r="L38" i="4" a="1"/>
  <c r="L38" i="4" s="1"/>
  <c r="D38" i="4"/>
  <c r="I38" i="4" s="1" a="1"/>
  <c r="I38" i="4" s="1"/>
  <c r="K38" i="4" s="1" a="1"/>
  <c r="K38" i="4" s="1"/>
  <c r="E39" i="4" a="1"/>
  <c r="E39" i="4" s="1"/>
  <c r="H39" i="4"/>
  <c r="G39" i="4" a="1"/>
  <c r="G39" i="4" s="1"/>
  <c r="C40" i="4" a="1"/>
  <c r="C40" i="4" s="1"/>
  <c r="J40" i="4" s="1" a="1"/>
  <c r="J40" i="4" s="1"/>
  <c r="O37" i="4" l="1"/>
  <c r="P37" i="4" s="1"/>
  <c r="S37" i="4" s="1"/>
  <c r="U37" i="4" s="1"/>
  <c r="W37" i="4" s="1"/>
  <c r="X37" i="4" s="1"/>
  <c r="T37" i="4"/>
  <c r="Q37" i="4"/>
  <c r="R37" i="4" s="1"/>
  <c r="V37" i="4"/>
  <c r="N38" i="4" a="1"/>
  <c r="N38" i="4" s="1"/>
  <c r="M38" i="4" a="1"/>
  <c r="M38" i="4" s="1"/>
  <c r="O38" i="4"/>
  <c r="P38" i="4" s="1"/>
  <c r="S38" i="4" s="1"/>
  <c r="Q38" i="4"/>
  <c r="R38" i="4" s="1"/>
  <c r="F39" i="4"/>
  <c r="D39" i="4"/>
  <c r="I39" i="4" s="1" a="1"/>
  <c r="I39" i="4" s="1"/>
  <c r="K39" i="4" s="1" a="1"/>
  <c r="K39" i="4" s="1"/>
  <c r="L39" i="4" a="1"/>
  <c r="L39" i="4" s="1"/>
  <c r="E40" i="4" a="1"/>
  <c r="E40" i="4" s="1"/>
  <c r="G40" i="4" a="1"/>
  <c r="G40" i="4" s="1"/>
  <c r="H40" i="4"/>
  <c r="C41" i="4" a="1"/>
  <c r="C41" i="4" s="1"/>
  <c r="J41" i="4" s="1" a="1"/>
  <c r="J41" i="4" s="1"/>
  <c r="T38" i="4" l="1"/>
  <c r="U38" i="4" s="1"/>
  <c r="W38" i="4" s="1"/>
  <c r="X38" i="4" s="1"/>
  <c r="V38" i="4"/>
  <c r="M39" i="4" a="1"/>
  <c r="M39" i="4" s="1"/>
  <c r="N39" i="4" a="1"/>
  <c r="N39" i="4" s="1"/>
  <c r="D40" i="4"/>
  <c r="I40" i="4" s="1" a="1"/>
  <c r="I40" i="4" s="1"/>
  <c r="K40" i="4" s="1" a="1"/>
  <c r="K40" i="4" s="1"/>
  <c r="L40" i="4" a="1"/>
  <c r="L40" i="4" s="1"/>
  <c r="F40" i="4"/>
  <c r="E41" i="4" a="1"/>
  <c r="E41" i="4" s="1"/>
  <c r="G41" i="4" a="1"/>
  <c r="G41" i="4" s="1"/>
  <c r="H41" i="4"/>
  <c r="C42" i="4" a="1"/>
  <c r="C42" i="4" s="1"/>
  <c r="J42" i="4" s="1" a="1"/>
  <c r="J42" i="4" s="1"/>
  <c r="O39" i="4" l="1"/>
  <c r="Q39" i="4"/>
  <c r="T39" i="4"/>
  <c r="V39" i="4"/>
  <c r="N40" i="4" a="1"/>
  <c r="N40" i="4" s="1"/>
  <c r="O40" i="4"/>
  <c r="M40" i="4" a="1"/>
  <c r="M40" i="4" s="1"/>
  <c r="Q40" i="4"/>
  <c r="P40" i="4"/>
  <c r="R40" i="4"/>
  <c r="S40" i="4"/>
  <c r="T40" i="4"/>
  <c r="U40" i="4"/>
  <c r="V40" i="4"/>
  <c r="W40" i="4"/>
  <c r="X40" i="4"/>
  <c r="F41" i="4"/>
  <c r="D41" i="4"/>
  <c r="I41" i="4" s="1" a="1"/>
  <c r="I41" i="4" s="1"/>
  <c r="L41" i="4" a="1"/>
  <c r="L41" i="4" s="1"/>
  <c r="K41" i="4" a="1"/>
  <c r="K41" i="4" s="1"/>
  <c r="Y41" i="4"/>
  <c r="Z41" i="4"/>
  <c r="AA41" i="4"/>
  <c r="AC41" i="4"/>
  <c r="AD41" i="4"/>
  <c r="AB41" i="4"/>
  <c r="G42" i="4" a="1"/>
  <c r="G42" i="4" s="1"/>
  <c r="H42" i="4"/>
  <c r="E42" i="4" a="1"/>
  <c r="E42" i="4" s="1"/>
  <c r="C43" i="4" a="1"/>
  <c r="C43" i="4" s="1"/>
  <c r="J43" i="4" s="1" a="1"/>
  <c r="J43" i="4" s="1"/>
  <c r="P39" i="4"/>
  <c r="R39" i="4"/>
  <c r="S39" i="4" l="1"/>
  <c r="P41" i="4"/>
  <c r="M41" i="4" a="1"/>
  <c r="M41" i="4" s="1"/>
  <c r="Q41" i="4"/>
  <c r="N41" i="4" a="1"/>
  <c r="N41" i="4" s="1"/>
  <c r="O41" i="4"/>
  <c r="R41" i="4"/>
  <c r="S41" i="4"/>
  <c r="T41" i="4"/>
  <c r="U41" i="4"/>
  <c r="V41" i="4"/>
  <c r="W41" i="4"/>
  <c r="X41" i="4"/>
  <c r="Z42" i="4"/>
  <c r="AA42" i="4"/>
  <c r="AC42" i="4"/>
  <c r="AD42" i="4"/>
  <c r="AB42" i="4"/>
  <c r="Y42" i="4"/>
  <c r="K42" i="4" a="1"/>
  <c r="K42" i="4" s="1"/>
  <c r="F42" i="4"/>
  <c r="L42" i="4" a="1"/>
  <c r="L42" i="4" s="1"/>
  <c r="D42" i="4"/>
  <c r="I42" i="4" s="1" a="1"/>
  <c r="I42" i="4" s="1"/>
  <c r="E43" i="4" a="1"/>
  <c r="E43" i="4" s="1"/>
  <c r="H43" i="4"/>
  <c r="G43" i="4" a="1"/>
  <c r="G43" i="4" s="1"/>
  <c r="C44" i="4" a="1"/>
  <c r="C44" i="4" s="1"/>
  <c r="J44" i="4" s="1" a="1"/>
  <c r="J44" i="4" s="1"/>
  <c r="U39" i="4"/>
  <c r="M42" i="4" l="1" a="1"/>
  <c r="M42" i="4" s="1"/>
  <c r="N42" i="4" a="1"/>
  <c r="N42" i="4" s="1"/>
  <c r="O42" i="4"/>
  <c r="Q42" i="4"/>
  <c r="P42" i="4"/>
  <c r="R42" i="4"/>
  <c r="S42" i="4"/>
  <c r="T42" i="4"/>
  <c r="U42" i="4"/>
  <c r="V42" i="4"/>
  <c r="W42" i="4"/>
  <c r="X42" i="4"/>
  <c r="F43" i="4"/>
  <c r="D43" i="4"/>
  <c r="I43" i="4" s="1" a="1"/>
  <c r="I43" i="4" s="1"/>
  <c r="L43" i="4" a="1"/>
  <c r="L43" i="4" s="1"/>
  <c r="K43" i="4" a="1"/>
  <c r="K43" i="4" s="1"/>
  <c r="Z43" i="4"/>
  <c r="AA43" i="4"/>
  <c r="AC43" i="4"/>
  <c r="AD43" i="4"/>
  <c r="AB43" i="4"/>
  <c r="Y43" i="4"/>
  <c r="E44" i="4" a="1"/>
  <c r="E44" i="4" s="1"/>
  <c r="H44" i="4"/>
  <c r="G44" i="4" a="1"/>
  <c r="G44" i="4" s="1"/>
  <c r="C45" i="4" a="1"/>
  <c r="C45" i="4" s="1"/>
  <c r="J45" i="4" s="1" a="1"/>
  <c r="J45" i="4" s="1"/>
  <c r="W39" i="4"/>
  <c r="X39" i="4" l="1"/>
  <c r="O43" i="4"/>
  <c r="N43" i="4" a="1"/>
  <c r="N43" i="4" s="1"/>
  <c r="P43" i="4"/>
  <c r="M43" i="4" a="1"/>
  <c r="M43" i="4" s="1"/>
  <c r="Q43" i="4"/>
  <c r="R43" i="4"/>
  <c r="S43" i="4"/>
  <c r="T43" i="4"/>
  <c r="U43" i="4"/>
  <c r="V43" i="4"/>
  <c r="W43" i="4"/>
  <c r="X43" i="4"/>
  <c r="L44" i="4" a="1"/>
  <c r="L44" i="4" s="1"/>
  <c r="D44" i="4"/>
  <c r="I44" i="4" s="1" a="1"/>
  <c r="I44" i="4" s="1"/>
  <c r="K44" i="4" a="1"/>
  <c r="K44" i="4" s="1"/>
  <c r="F44" i="4"/>
  <c r="Z44" i="4"/>
  <c r="AA44" i="4"/>
  <c r="AC44" i="4"/>
  <c r="AD44" i="4"/>
  <c r="AB44" i="4"/>
  <c r="Y44" i="4"/>
  <c r="E45" i="4" a="1"/>
  <c r="E45" i="4" s="1"/>
  <c r="H45" i="4"/>
  <c r="G45" i="4" a="1"/>
  <c r="G45" i="4" s="1"/>
  <c r="C46" i="4" a="1"/>
  <c r="C46" i="4" s="1"/>
  <c r="J46" i="4" s="1" a="1"/>
  <c r="J46" i="4" s="1"/>
  <c r="M44" i="4" l="1" a="1"/>
  <c r="M44" i="4" s="1"/>
  <c r="O44" i="4"/>
  <c r="N44" i="4" a="1"/>
  <c r="N44" i="4" s="1"/>
  <c r="P44" i="4"/>
  <c r="Q44" i="4"/>
  <c r="R44" i="4"/>
  <c r="S44" i="4"/>
  <c r="T44" i="4"/>
  <c r="U44" i="4"/>
  <c r="V44" i="4"/>
  <c r="W44" i="4"/>
  <c r="X44" i="4"/>
  <c r="L45" i="4" a="1"/>
  <c r="L45" i="4" s="1"/>
  <c r="D45" i="4"/>
  <c r="I45" i="4" s="1" a="1"/>
  <c r="I45" i="4" s="1"/>
  <c r="F45" i="4"/>
  <c r="K45" i="4" a="1"/>
  <c r="K45" i="4" s="1"/>
  <c r="Y45" i="4"/>
  <c r="Z45" i="4"/>
  <c r="AA45" i="4"/>
  <c r="AC45" i="4"/>
  <c r="AD45" i="4"/>
  <c r="AB45" i="4"/>
  <c r="E46" i="4" a="1"/>
  <c r="E46" i="4" s="1"/>
  <c r="H46" i="4"/>
  <c r="G46" i="4" a="1"/>
  <c r="G46" i="4" s="1"/>
  <c r="C47" i="4" a="1"/>
  <c r="C47" i="4" s="1"/>
  <c r="J47" i="4" s="1" a="1"/>
  <c r="J47" i="4" s="1"/>
  <c r="M45" i="4" l="1" a="1"/>
  <c r="M45" i="4" s="1"/>
  <c r="N45" i="4" a="1"/>
  <c r="N45" i="4" s="1"/>
  <c r="P45" i="4"/>
  <c r="O45" i="4"/>
  <c r="Q45" i="4"/>
  <c r="R45" i="4"/>
  <c r="S45" i="4"/>
  <c r="T45" i="4"/>
  <c r="U45" i="4"/>
  <c r="V45" i="4"/>
  <c r="W45" i="4"/>
  <c r="X45" i="4"/>
  <c r="F46" i="4"/>
  <c r="L46" i="4" a="1"/>
  <c r="L46" i="4" s="1"/>
  <c r="D46" i="4"/>
  <c r="I46" i="4" s="1" a="1"/>
  <c r="I46" i="4" s="1"/>
  <c r="K46" i="4" a="1"/>
  <c r="K46" i="4" s="1"/>
  <c r="Y46" i="4"/>
  <c r="Z46" i="4"/>
  <c r="AA46" i="4"/>
  <c r="AC46" i="4"/>
  <c r="AD46" i="4"/>
  <c r="AB46" i="4"/>
  <c r="E47" i="4" a="1"/>
  <c r="E47" i="4" s="1"/>
  <c r="G47" i="4" a="1"/>
  <c r="G47" i="4" s="1"/>
  <c r="H47" i="4"/>
  <c r="C48" i="4" a="1"/>
  <c r="C48" i="4" s="1"/>
  <c r="J48" i="4" s="1" a="1"/>
  <c r="J48" i="4" s="1"/>
  <c r="M46" i="4" l="1" a="1"/>
  <c r="M46" i="4" s="1"/>
  <c r="N46" i="4" a="1"/>
  <c r="N46" i="4" s="1"/>
  <c r="Q46" i="4"/>
  <c r="P46" i="4"/>
  <c r="O46" i="4"/>
  <c r="R46" i="4"/>
  <c r="S46" i="4"/>
  <c r="T46" i="4"/>
  <c r="U46" i="4"/>
  <c r="V46" i="4"/>
  <c r="W46" i="4"/>
  <c r="X46" i="4"/>
  <c r="F47" i="4"/>
  <c r="L47" i="4" a="1"/>
  <c r="L47" i="4" s="1"/>
  <c r="D47" i="4"/>
  <c r="I47" i="4" s="1" a="1"/>
  <c r="I47" i="4" s="1"/>
  <c r="K47" i="4" a="1"/>
  <c r="K47" i="4" s="1"/>
  <c r="Z47" i="4"/>
  <c r="AA47" i="4"/>
  <c r="AC47" i="4"/>
  <c r="AD47" i="4"/>
  <c r="AB47" i="4"/>
  <c r="Y47" i="4"/>
  <c r="E48" i="4" a="1"/>
  <c r="E48" i="4" s="1"/>
  <c r="H48" i="4"/>
  <c r="G48" i="4" a="1"/>
  <c r="G48" i="4" s="1"/>
  <c r="C49" i="4" a="1"/>
  <c r="C49" i="4" s="1"/>
  <c r="J49" i="4" s="1" a="1"/>
  <c r="J49" i="4" s="1"/>
  <c r="O47" i="4" l="1"/>
  <c r="Q47" i="4"/>
  <c r="M47" i="4" a="1"/>
  <c r="M47" i="4" s="1"/>
  <c r="N47" i="4" a="1"/>
  <c r="N47" i="4" s="1"/>
  <c r="P47" i="4"/>
  <c r="R47" i="4"/>
  <c r="S47" i="4"/>
  <c r="T47" i="4"/>
  <c r="U47" i="4"/>
  <c r="V47" i="4"/>
  <c r="W47" i="4"/>
  <c r="X47" i="4"/>
  <c r="L48" i="4" a="1"/>
  <c r="L48" i="4" s="1"/>
  <c r="F48" i="4"/>
  <c r="D48" i="4"/>
  <c r="I48" i="4" s="1" a="1"/>
  <c r="I48" i="4" s="1"/>
  <c r="K48" i="4" a="1"/>
  <c r="K48" i="4" s="1"/>
  <c r="Z48" i="4"/>
  <c r="AA48" i="4"/>
  <c r="AC48" i="4"/>
  <c r="AD48" i="4"/>
  <c r="AB48" i="4"/>
  <c r="Y48" i="4"/>
  <c r="E49" i="4" a="1"/>
  <c r="E49" i="4" s="1"/>
  <c r="H49" i="4"/>
  <c r="G49" i="4" a="1"/>
  <c r="G49" i="4" s="1"/>
  <c r="C50" i="4" a="1"/>
  <c r="C50" i="4" s="1"/>
  <c r="N18" i="4" l="1" a="1"/>
  <c r="N18" i="4" s="1"/>
  <c r="N20" i="4" a="1"/>
  <c r="N20" i="4" s="1"/>
  <c r="N21" i="4" a="1"/>
  <c r="N21" i="4" s="1"/>
  <c r="J50" i="4" a="1"/>
  <c r="J50" i="4" s="1"/>
  <c r="M48" i="4" a="1"/>
  <c r="M48" i="4" s="1"/>
  <c r="N48" i="4" a="1"/>
  <c r="N48" i="4" s="1"/>
  <c r="Q48" i="4"/>
  <c r="P48" i="4"/>
  <c r="O48" i="4"/>
  <c r="R48" i="4"/>
  <c r="S48" i="4"/>
  <c r="T48" i="4"/>
  <c r="U48" i="4"/>
  <c r="V48" i="4"/>
  <c r="W48" i="4"/>
  <c r="X48" i="4"/>
  <c r="K49" i="4" a="1"/>
  <c r="K49" i="4" s="1"/>
  <c r="D49" i="4"/>
  <c r="I49" i="4" s="1" a="1"/>
  <c r="I49" i="4" s="1"/>
  <c r="F49" i="4"/>
  <c r="L49" i="4" a="1"/>
  <c r="L49" i="4" s="1"/>
  <c r="Y49" i="4"/>
  <c r="Z49" i="4"/>
  <c r="AA49" i="4"/>
  <c r="AC49" i="4"/>
  <c r="AD49" i="4"/>
  <c r="AB49" i="4"/>
  <c r="E50" i="4" a="1"/>
  <c r="E50" i="4" s="1"/>
  <c r="G50" i="4" a="1"/>
  <c r="G50" i="4" s="1"/>
  <c r="H50" i="4"/>
  <c r="T18" i="4" l="1"/>
  <c r="O18" i="4"/>
  <c r="Q18" i="4"/>
  <c r="O20" i="4"/>
  <c r="Q20" i="4"/>
  <c r="T20" i="4"/>
  <c r="T21" i="4"/>
  <c r="O21" i="4"/>
  <c r="Q21" i="4"/>
  <c r="M49" i="4" a="1"/>
  <c r="M49" i="4" s="1"/>
  <c r="P49" i="4"/>
  <c r="N49" i="4" a="1"/>
  <c r="N49" i="4" s="1"/>
  <c r="O49" i="4"/>
  <c r="Q49" i="4"/>
  <c r="R49" i="4"/>
  <c r="S49" i="4"/>
  <c r="T49" i="4"/>
  <c r="U49" i="4"/>
  <c r="V49" i="4"/>
  <c r="W49" i="4"/>
  <c r="X49" i="4"/>
  <c r="D50" i="4"/>
  <c r="I50" i="4" s="1" a="1"/>
  <c r="I50" i="4" s="1"/>
  <c r="F50" i="4"/>
  <c r="L50" i="4" a="1"/>
  <c r="L50" i="4" s="1"/>
  <c r="K50" i="4" a="1"/>
  <c r="K50" i="4" s="1"/>
  <c r="Y50" i="4"/>
  <c r="Z50" i="4"/>
  <c r="AA50" i="4"/>
  <c r="AC50" i="4"/>
  <c r="AD50" i="4"/>
  <c r="AB50" i="4"/>
  <c r="P20" i="4"/>
  <c r="R18" i="4"/>
  <c r="R20" i="4"/>
  <c r="P21" i="4"/>
  <c r="P18" i="4"/>
  <c r="R21" i="4"/>
  <c r="S21" i="4" l="1"/>
  <c r="S20" i="4"/>
  <c r="S18" i="4"/>
  <c r="M50" i="4" a="1"/>
  <c r="M50" i="4" s="1"/>
  <c r="N50" i="4" a="1"/>
  <c r="N50" i="4" s="1"/>
  <c r="Q50" i="4"/>
  <c r="P50" i="4"/>
  <c r="O50" i="4"/>
  <c r="R50" i="4"/>
  <c r="S50" i="4"/>
  <c r="T50" i="4"/>
  <c r="U50" i="4"/>
  <c r="V50" i="4"/>
  <c r="W50" i="4"/>
  <c r="X50" i="4"/>
  <c r="U29" i="4"/>
  <c r="U27" i="4"/>
  <c r="U33" i="4"/>
  <c r="U32" i="4"/>
  <c r="U23" i="4"/>
  <c r="U26" i="4"/>
  <c r="U30" i="4"/>
  <c r="U25" i="4"/>
  <c r="U18" i="4"/>
  <c r="U35" i="4"/>
  <c r="U24" i="4"/>
  <c r="U22" i="4"/>
  <c r="U19" i="4"/>
  <c r="U31" i="4"/>
  <c r="U28" i="4"/>
  <c r="U34" i="4"/>
  <c r="Z38" i="4" l="1"/>
  <c r="AA38" i="4"/>
  <c r="AA37" i="4"/>
  <c r="Z37" i="4"/>
  <c r="AB37" i="4" s="1"/>
  <c r="Y37" i="4"/>
  <c r="W19" i="4"/>
  <c r="U20" i="4"/>
  <c r="W18" i="4"/>
  <c r="U21" i="4"/>
  <c r="W32" i="4"/>
  <c r="W35" i="4"/>
  <c r="W31" i="4"/>
  <c r="W28" i="4"/>
  <c r="W22" i="4"/>
  <c r="W33" i="4"/>
  <c r="W34" i="4"/>
  <c r="W29" i="4"/>
  <c r="W25" i="4"/>
  <c r="W30" i="4"/>
  <c r="W26" i="4"/>
  <c r="W24" i="4"/>
  <c r="W23" i="4"/>
  <c r="W27" i="4"/>
  <c r="X27" i="4" l="1"/>
  <c r="X19" i="4"/>
  <c r="X22" i="4"/>
  <c r="X29" i="4"/>
  <c r="X26" i="4"/>
  <c r="X25" i="4"/>
  <c r="X34" i="4"/>
  <c r="X24" i="4"/>
  <c r="X31" i="4"/>
  <c r="X32" i="4"/>
  <c r="X33" i="4"/>
  <c r="X23" i="4"/>
  <c r="X28" i="4"/>
  <c r="X35" i="4"/>
  <c r="X30" i="4"/>
  <c r="X18" i="4"/>
  <c r="AD38" i="4"/>
  <c r="AC38" i="4"/>
  <c r="AB38" i="4"/>
  <c r="AD37" i="4"/>
  <c r="AC37" i="4"/>
  <c r="W21" i="4"/>
  <c r="W20" i="4"/>
  <c r="X20" i="4" l="1"/>
  <c r="AA14" i="4" s="1"/>
  <c r="X21" i="4"/>
  <c r="Z30" i="4" s="1"/>
  <c r="Z40" i="4"/>
  <c r="AA33" i="4"/>
  <c r="Z35" i="4"/>
  <c r="Y24" i="4"/>
  <c r="Y39" i="4"/>
  <c r="Z34" i="4"/>
  <c r="J39" i="5" a="1"/>
  <c r="J39" i="5" s="1"/>
  <c r="Z29" i="4"/>
  <c r="Y35" i="4"/>
  <c r="AA19" i="4"/>
  <c r="Y29" i="4"/>
  <c r="J37" i="5" a="1"/>
  <c r="J37" i="5" s="1"/>
  <c r="AA23" i="4"/>
  <c r="Y34" i="4"/>
  <c r="AA25" i="4"/>
  <c r="Y22" i="4"/>
  <c r="J36" i="5" a="1"/>
  <c r="J36" i="5" s="1"/>
  <c r="AA32" i="4"/>
  <c r="Y19" i="4"/>
  <c r="Y32" i="4"/>
  <c r="AA24" i="4"/>
  <c r="Z33" i="4"/>
  <c r="Y38" i="4"/>
  <c r="AA36" i="4"/>
  <c r="Y18" i="4"/>
  <c r="Z21" i="4"/>
  <c r="AA26" i="4"/>
  <c r="AA27" i="4"/>
  <c r="Z39" i="4" l="1"/>
  <c r="Y21" i="4"/>
  <c r="Y27" i="4"/>
  <c r="Y23" i="4"/>
  <c r="Y26" i="4"/>
  <c r="Y33" i="4"/>
  <c r="AA28" i="4"/>
  <c r="Z32" i="4"/>
  <c r="AC32" i="4" s="1"/>
  <c r="F35" i="5" a="1"/>
  <c r="F35" i="5" s="1"/>
  <c r="Z28" i="4"/>
  <c r="Y28" i="4"/>
  <c r="AA40" i="4"/>
  <c r="AD40" i="4" s="1"/>
  <c r="Z20" i="4"/>
  <c r="Y20" i="4"/>
  <c r="Z14" i="4"/>
  <c r="AB14" i="4" s="1"/>
  <c r="N35" i="5" a="1"/>
  <c r="N35" i="5" s="1"/>
  <c r="AQ29" i="4" s="1"/>
  <c r="AA34" i="4"/>
  <c r="AC34" i="4" s="1"/>
  <c r="Y14" i="4"/>
  <c r="Y40" i="4"/>
  <c r="Z25" i="4"/>
  <c r="AB25" i="4" s="1"/>
  <c r="Z19" i="4"/>
  <c r="AC19" i="4" s="1"/>
  <c r="Y25" i="4"/>
  <c r="J38" i="5" a="1"/>
  <c r="J38" i="5" s="1"/>
  <c r="I38" i="5" s="1" a="1"/>
  <c r="I38" i="5" s="1"/>
  <c r="AI32" i="4" s="1"/>
  <c r="J35" i="5" a="1"/>
  <c r="J35" i="5" s="1"/>
  <c r="AJ29" i="4" s="1"/>
  <c r="Z23" i="4"/>
  <c r="AB23" i="4" s="1"/>
  <c r="J41" i="5" a="1"/>
  <c r="J41" i="5" s="1"/>
  <c r="N41" i="5" a="1"/>
  <c r="N41" i="5" s="1"/>
  <c r="AQ35" i="4" s="1"/>
  <c r="Z24" i="4"/>
  <c r="AD24" i="4" s="1"/>
  <c r="Z22" i="4"/>
  <c r="Z27" i="4"/>
  <c r="AC27" i="4" s="1"/>
  <c r="AA21" i="4"/>
  <c r="AC21" i="4" s="1"/>
  <c r="AA39" i="4"/>
  <c r="AB39" i="4" s="1"/>
  <c r="AA20" i="4"/>
  <c r="AA31" i="4"/>
  <c r="AA30" i="4"/>
  <c r="AD30" i="4" s="1"/>
  <c r="Y31" i="4"/>
  <c r="Z18" i="4"/>
  <c r="Y36" i="4"/>
  <c r="AA22" i="4"/>
  <c r="AA29" i="4"/>
  <c r="AD29" i="4" s="1"/>
  <c r="AA18" i="4"/>
  <c r="Z36" i="4"/>
  <c r="AD36" i="4" s="1"/>
  <c r="Z31" i="4"/>
  <c r="AA35" i="4"/>
  <c r="AC35" i="4" s="1"/>
  <c r="Z26" i="4"/>
  <c r="AB26" i="4" s="1"/>
  <c r="Y30" i="4"/>
  <c r="I39" i="5" a="1"/>
  <c r="I39" i="5" s="1"/>
  <c r="AI33" i="4" s="1"/>
  <c r="AJ33" i="4"/>
  <c r="AJ31" i="4"/>
  <c r="I37" i="5" a="1"/>
  <c r="I37" i="5" s="1"/>
  <c r="AI31" i="4" s="1"/>
  <c r="AD33" i="4"/>
  <c r="AC33" i="4"/>
  <c r="AB33" i="4"/>
  <c r="I36" i="5" a="1"/>
  <c r="I36" i="5" s="1"/>
  <c r="AI30" i="4" s="1"/>
  <c r="AJ30" i="4"/>
  <c r="AB34" i="4" l="1"/>
  <c r="AC31" i="4"/>
  <c r="AD34" i="4"/>
  <c r="M35" i="5" a="1"/>
  <c r="M35" i="5" s="1"/>
  <c r="AP29" i="4" s="1"/>
  <c r="AB28" i="4"/>
  <c r="AB32" i="4"/>
  <c r="AD32" i="4"/>
  <c r="AC22" i="4"/>
  <c r="AB20" i="4"/>
  <c r="AB22" i="4"/>
  <c r="AD18" i="4"/>
  <c r="AD21" i="4"/>
  <c r="AC20" i="4"/>
  <c r="AD20" i="4"/>
  <c r="AB36" i="4"/>
  <c r="AD31" i="4"/>
  <c r="E35" i="5" a="1"/>
  <c r="E35" i="5" s="1"/>
  <c r="AI16" i="4" s="1"/>
  <c r="F40" i="5"/>
  <c r="AJ16" i="4"/>
  <c r="AC29" i="4"/>
  <c r="AC28" i="4"/>
  <c r="AD19" i="4"/>
  <c r="AD28" i="4"/>
  <c r="AB19" i="4"/>
  <c r="AC25" i="4"/>
  <c r="AC40" i="4"/>
  <c r="AB27" i="4"/>
  <c r="AD25" i="4"/>
  <c r="AD27" i="4"/>
  <c r="AD22" i="4"/>
  <c r="AB40" i="4"/>
  <c r="AD14" i="4"/>
  <c r="AC24" i="4"/>
  <c r="AC14" i="4"/>
  <c r="AB21" i="4"/>
  <c r="AC36" i="4"/>
  <c r="AC26" i="4"/>
  <c r="J40" i="5"/>
  <c r="I40" i="5" s="1"/>
  <c r="AI34" i="4" s="1"/>
  <c r="AD26" i="4"/>
  <c r="AB31" i="4"/>
  <c r="AB24" i="4"/>
  <c r="AC39" i="4"/>
  <c r="AD39" i="4"/>
  <c r="AB35" i="4"/>
  <c r="E24" i="5"/>
  <c r="E25" i="5" s="1"/>
  <c r="AJ35" i="4"/>
  <c r="AJ32" i="4"/>
  <c r="AC18" i="4"/>
  <c r="E26" i="5"/>
  <c r="I35" i="5" a="1"/>
  <c r="I35" i="5" s="1"/>
  <c r="AI29" i="4" s="1"/>
  <c r="AC23" i="4"/>
  <c r="AB30" i="4"/>
  <c r="AB18" i="4"/>
  <c r="AB29" i="4"/>
  <c r="N40" i="5"/>
  <c r="AQ34" i="4" s="1"/>
  <c r="AD35" i="4"/>
  <c r="AC30" i="4"/>
  <c r="AD23" i="4"/>
  <c r="AJ34" i="4" l="1"/>
  <c r="AJ21" i="4"/>
  <c r="E40" i="5"/>
  <c r="AI21" i="4" s="1"/>
  <c r="M40" i="5"/>
  <c r="AP34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<sst xmlns="http://schemas.openxmlformats.org/spreadsheetml/2006/main" count="195" uniqueCount="121">
  <si>
    <t>SETTINGS</t>
  </si>
  <si>
    <t>General</t>
  </si>
  <si>
    <t>Starting Year:</t>
  </si>
  <si>
    <t>Budget Tracking &amp; Dashboard</t>
  </si>
  <si>
    <t>Late Monthly Income</t>
  </si>
  <si>
    <t>Shift late income</t>
  </si>
  <si>
    <t>Inactive</t>
  </si>
  <si>
    <t>Activate option to treat late income on/after a certain day of the month as income for the next month.</t>
  </si>
  <si>
    <t>Starting on day x in month:</t>
  </si>
  <si>
    <t>KPI Calculations in Dashboard</t>
  </si>
  <si>
    <t>Savings Rate as % of Income</t>
  </si>
  <si>
    <t>% not allocated to Expenses</t>
  </si>
  <si>
    <t>Choose how savings rate (SR) should be calculated in dashboard KPI.
1) Active Option (% allocated to Savings):                                           SR = Savings / Income
2) Passive Option (% not allocated to Expenses):                            SR = (Income - Expenses) / Income</t>
  </si>
  <si>
    <t>Budget Planning</t>
  </si>
  <si>
    <t>To be allocated:</t>
  </si>
  <si>
    <t>Income</t>
  </si>
  <si>
    <t>Commissions (Net)</t>
  </si>
  <si>
    <t>Enter Income Category...</t>
  </si>
  <si>
    <t>Total</t>
  </si>
  <si>
    <t>Expenses</t>
  </si>
  <si>
    <t>Company License Fees</t>
  </si>
  <si>
    <t>Establishment Card</t>
  </si>
  <si>
    <t>VAT</t>
  </si>
  <si>
    <t>Landline &amp; Wifi</t>
  </si>
  <si>
    <t>Petrol</t>
  </si>
  <si>
    <t>Car Maintenance</t>
  </si>
  <si>
    <t>Travel &amp; Misc.</t>
  </si>
  <si>
    <t>Savings</t>
  </si>
  <si>
    <t>Statutory Reserve*</t>
  </si>
  <si>
    <t>Enter Savings Category…</t>
  </si>
  <si>
    <t xml:space="preserve">*150,000aed-300,000aed. </t>
  </si>
  <si>
    <t>Budget Tracking</t>
  </si>
  <si>
    <t>Date</t>
  </si>
  <si>
    <t>Type</t>
  </si>
  <si>
    <t>Category</t>
  </si>
  <si>
    <t>Amount</t>
  </si>
  <si>
    <t>Details</t>
  </si>
  <si>
    <t>Balance</t>
  </si>
  <si>
    <t>Effective Date</t>
  </si>
  <si>
    <t>Budget Dashboard</t>
  </si>
  <si>
    <t>Year</t>
  </si>
  <si>
    <r>
      <t xml:space="preserve">Select Year </t>
    </r>
    <r>
      <rPr>
        <i/>
        <sz val="9"/>
        <color theme="0" tint="-0.34998626667073579"/>
        <rFont val="Consolas"/>
        <family val="3"/>
      </rPr>
      <t>→</t>
    </r>
  </si>
  <si>
    <t>Period</t>
  </si>
  <si>
    <r>
      <t xml:space="preserve">Select Period </t>
    </r>
    <r>
      <rPr>
        <i/>
        <sz val="9"/>
        <color theme="0" tint="-0.34998626667073579"/>
        <rFont val="Consolas"/>
        <family val="3"/>
      </rPr>
      <t>→</t>
    </r>
  </si>
  <si>
    <t>row_id</t>
  </si>
  <si>
    <t>header_row_id</t>
  </si>
  <si>
    <t>is_header</t>
  </si>
  <si>
    <t>is_cat</t>
  </si>
  <si>
    <t>is_total</t>
  </si>
  <si>
    <t>is_empty</t>
  </si>
  <si>
    <t>type</t>
  </si>
  <si>
    <t>item</t>
  </si>
  <si>
    <t>tracked</t>
  </si>
  <si>
    <t>budget</t>
  </si>
  <si>
    <t>sort_min_row</t>
  </si>
  <si>
    <t>sort_max_row</t>
  </si>
  <si>
    <t>tracked_range</t>
  </si>
  <si>
    <t>tracked_rank</t>
  </si>
  <si>
    <t>budget_range</t>
  </si>
  <si>
    <t>budget_rank</t>
  </si>
  <si>
    <t>comb_rank</t>
  </si>
  <si>
    <t>comb_rank_range</t>
  </si>
  <si>
    <t>comb_rank_norm</t>
  </si>
  <si>
    <t>comb_rank_norm_run_range</t>
  </si>
  <si>
    <t>comb_rank_unique</t>
  </si>
  <si>
    <t>sorted_row_id [Lookup]</t>
  </si>
  <si>
    <t>Calculations</t>
  </si>
  <si>
    <t>Worksheet: Budget Tracking</t>
  </si>
  <si>
    <t>Today:</t>
  </si>
  <si>
    <t>Last Record:</t>
  </si>
  <si>
    <t>Days Between:</t>
  </si>
  <si>
    <t># Records:</t>
  </si>
  <si>
    <t># Records this year:</t>
  </si>
  <si>
    <t>Tracking Balance:</t>
  </si>
  <si>
    <t>Balance Analysis Text:</t>
  </si>
  <si>
    <t>Worksheet: Budget Dashboard</t>
  </si>
  <si>
    <t>Selected Year:</t>
  </si>
  <si>
    <t>Selected Period:</t>
  </si>
  <si>
    <t>Selected Period (Display):</t>
  </si>
  <si>
    <t>Days in Period:</t>
  </si>
  <si>
    <t>Days passed in Period:</t>
  </si>
  <si>
    <t>Days passed in Period %:</t>
  </si>
  <si>
    <t>Period Tracking Balance:</t>
  </si>
  <si>
    <t>Period Savings Rate:</t>
  </si>
  <si>
    <t>Show Income:</t>
  </si>
  <si>
    <t>Show Expenses:</t>
  </si>
  <si>
    <t>Show Savings:</t>
  </si>
  <si>
    <t>Show Rem. Budget:</t>
  </si>
  <si>
    <t>Period in Focus</t>
  </si>
  <si>
    <t>Period not in Focus</t>
  </si>
  <si>
    <t>Month</t>
  </si>
  <si>
    <t>Month Num.</t>
  </si>
  <si>
    <t>In Focus</t>
  </si>
  <si>
    <t>Show Type</t>
  </si>
  <si>
    <t>Show Rem. Budget</t>
  </si>
  <si>
    <t>Tracked</t>
  </si>
  <si>
    <t>Budget</t>
  </si>
  <si>
    <t>Delta</t>
  </si>
  <si>
    <t>In Budget</t>
  </si>
  <si>
    <t>Remaining</t>
  </si>
  <si>
    <t>Excess</t>
  </si>
  <si>
    <t>Drop-down Data</t>
  </si>
  <si>
    <t>Year Drop-down</t>
  </si>
  <si>
    <t>Period Drop-down</t>
  </si>
  <si>
    <t>Current Year</t>
  </si>
  <si>
    <t>Total Year</t>
  </si>
  <si>
    <t>Current Month</t>
  </si>
  <si>
    <t>Expense 1</t>
  </si>
  <si>
    <t>Expense 2</t>
  </si>
  <si>
    <t>Expense 3</t>
  </si>
  <si>
    <t>Expense 4</t>
  </si>
  <si>
    <t>Office Mobile</t>
  </si>
  <si>
    <t>Salary</t>
  </si>
  <si>
    <t>Expense 5</t>
  </si>
  <si>
    <t>Expense 6</t>
  </si>
  <si>
    <t>Expense 7</t>
  </si>
  <si>
    <t>Expense 8</t>
  </si>
  <si>
    <t>Expense 9</t>
  </si>
  <si>
    <r>
      <rPr>
        <b/>
        <sz val="11"/>
        <color theme="5" tint="0.39997558519241921"/>
        <rFont val="Aptos Narrow"/>
        <family val="2"/>
        <scheme val="minor"/>
      </rPr>
      <t>Chart Calculations:</t>
    </r>
    <r>
      <rPr>
        <sz val="11"/>
        <color theme="5" tint="0.39997558519241921"/>
        <rFont val="Aptos Narrow"/>
        <family val="2"/>
        <scheme val="minor"/>
      </rPr>
      <t xml:space="preserve"> Tracked (vs. Budget) Chart</t>
    </r>
  </si>
  <si>
    <r>
      <rPr>
        <b/>
        <sz val="11"/>
        <color theme="5" tint="0.39997558519241921"/>
        <rFont val="Aptos Narrow"/>
        <family val="2"/>
        <scheme val="minor"/>
      </rPr>
      <t>Chart Calculations:</t>
    </r>
    <r>
      <rPr>
        <sz val="11"/>
        <color theme="5" tint="0.39997558519241921"/>
        <rFont val="Aptos Narrow"/>
        <family val="2"/>
        <scheme val="minor"/>
      </rPr>
      <t xml:space="preserve"> Cateory Distribution Charts</t>
    </r>
  </si>
  <si>
    <t>Company Maintenance Fees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</si>
</sst>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(* #,##0.00_);_(* \(#,##0.00\);_(* &quot;-&quot;??_);_(@_)"/>
    <numFmt numFmtId="164" formatCode="mmm"/>
    <numFmt numFmtId="165" formatCode="_(* #,##0_);_(* \(#,##0\);_(* &quot;-&quot;??_);_(@_)"/>
    <numFmt numFmtId="166" formatCode="mmmm"/>
    <numFmt numFmtId="168" formatCode="d\-mmm\-yy"/>
  </numFmts>
  <fonts count="4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4"/>
      <color theme="0"/>
      <name val="Agency FB"/>
      <family val="2"/>
    </font>
    <font>
      <sz val="10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16"/>
      <color theme="0"/>
      <name val="Agency FB"/>
      <family val="2"/>
    </font>
    <font>
      <b/>
      <sz val="10"/>
      <color theme="1"/>
      <name val="Aptos Narrow"/>
      <family val="2"/>
      <scheme val="minor"/>
    </font>
    <font>
      <b/>
      <sz val="10"/>
      <color theme="0"/>
      <name val="Aptos Narrow"/>
      <family val="2"/>
      <scheme val="minor"/>
    </font>
    <font>
      <sz val="10"/>
      <color theme="0" tint="-0.34998626667073579"/>
      <name val="Aptos Narrow"/>
      <family val="2"/>
      <scheme val="minor"/>
    </font>
    <font>
      <sz val="9"/>
      <color theme="0" tint="-0.34998626667073579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9"/>
      <color theme="0" tint="-0.34998626667073579"/>
      <name val="Aptos Narrow"/>
      <family val="2"/>
      <scheme val="minor"/>
    </font>
    <font>
      <sz val="10"/>
      <color rgb="FFFF0000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sz val="10"/>
      <color theme="0" tint="-0.249977111117893"/>
      <name val="Aptos Narrow"/>
      <family val="2"/>
      <scheme val="minor"/>
    </font>
    <font>
      <i/>
      <sz val="8"/>
      <color theme="0" tint="-0.249977111117893"/>
      <name val="Aptos Narrow"/>
      <family val="2"/>
      <scheme val="minor"/>
    </font>
    <font>
      <i/>
      <sz val="8"/>
      <color theme="1"/>
      <name val="Aptos Narrow"/>
      <family val="2"/>
      <scheme val="minor"/>
    </font>
    <font>
      <sz val="11"/>
      <color theme="1"/>
      <name val="Consolas"/>
      <family val="3"/>
    </font>
    <font>
      <sz val="9"/>
      <color rgb="FFFF0000"/>
      <name val="Aptos Narrow"/>
      <family val="2"/>
      <scheme val="minor"/>
    </font>
    <font>
      <b/>
      <sz val="28"/>
      <color theme="0"/>
      <name val="Agency FB"/>
      <family val="2"/>
    </font>
    <font>
      <sz val="10"/>
      <color theme="0" tint="-0.499984740745262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28"/>
      <color theme="4" tint="-0.499984740745262"/>
      <name val="Agency FB"/>
      <family val="2"/>
    </font>
    <font>
      <b/>
      <sz val="9"/>
      <color theme="0"/>
      <name val="Aptos Narrow"/>
      <family val="2"/>
      <scheme val="minor"/>
    </font>
    <font>
      <sz val="8"/>
      <color theme="1"/>
      <name val="Aptos Narrow"/>
      <family val="2"/>
      <scheme val="minor"/>
    </font>
    <font>
      <i/>
      <sz val="9"/>
      <color theme="0" tint="-0.34998626667073579"/>
      <name val="Aptos Narrow"/>
      <family val="2"/>
      <scheme val="minor"/>
    </font>
    <font>
      <i/>
      <sz val="9"/>
      <color theme="0" tint="-0.34998626667073579"/>
      <name val="Consolas"/>
      <family val="3"/>
    </font>
    <font>
      <b/>
      <sz val="9"/>
      <color theme="4" tint="-0.499984740745262"/>
      <name val="Aptos Narrow"/>
      <family val="2"/>
      <scheme val="minor"/>
    </font>
    <font>
      <sz val="10.5"/>
      <color theme="1"/>
      <name val="Aptos Narrow"/>
      <family val="2"/>
      <scheme val="minor"/>
    </font>
    <font>
      <b/>
      <sz val="11"/>
      <color theme="4" tint="-0.499984740745262"/>
      <name val="Aptos Narrow"/>
      <family val="2"/>
      <scheme val="minor"/>
    </font>
    <font>
      <sz val="8"/>
      <color theme="0" tint="-0.249977111117893"/>
      <name val="Aptos Narrow"/>
      <family val="2"/>
      <scheme val="minor"/>
    </font>
    <font>
      <sz val="9"/>
      <name val="Aptos Narrow"/>
      <family val="2"/>
      <scheme val="minor"/>
    </font>
    <font>
      <sz val="8"/>
      <color rgb="FF000000"/>
      <name val="Segoe UI"/>
      <charset val="1"/>
    </font>
    <font>
      <sz val="8"/>
      <name val="Aptos Narrow"/>
      <family val="2"/>
      <scheme val="minor"/>
    </font>
    <font>
      <b/>
      <sz val="28"/>
      <color theme="5"/>
      <name val="Agency FB"/>
      <family val="2"/>
    </font>
    <font>
      <sz val="11"/>
      <color theme="5" tint="0.39997558519241921"/>
      <name val="Aptos Narrow"/>
      <family val="2"/>
      <scheme val="minor"/>
    </font>
    <font>
      <b/>
      <sz val="11"/>
      <color theme="5" tint="0.3999755851924192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E6FAF5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D6EB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/>
      <top/>
      <bottom style="hair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dotted">
        <color auto="1"/>
      </top>
      <bottom style="double">
        <color auto="1"/>
      </bottom>
      <diagonal/>
    </border>
    <border>
      <left/>
      <right/>
      <top style="hair">
        <color auto="1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4" fillId="0" borderId="0" xfId="0" applyFont="1"/>
    <xf numFmtId="0" fontId="6" fillId="2" borderId="0" xfId="0" applyFont="1" applyFill="1" applyAlignment="1">
      <alignment horizontal="center" vertical="center"/>
    </xf>
    <xf numFmtId="0" fontId="6" fillId="0" borderId="0" xfId="0" applyFont="1" applyAlignment="1">
      <alignment horizontal="left" indent="1"/>
    </xf>
    <xf numFmtId="0" fontId="4" fillId="0" borderId="7" xfId="0" applyFont="1" applyBorder="1" applyAlignment="1">
      <alignment horizontal="left" indent="1"/>
    </xf>
    <xf numFmtId="0" fontId="10" fillId="4" borderId="0" xfId="0" applyFont="1" applyFill="1" applyAlignment="1">
      <alignment horizontal="center" vertical="center"/>
    </xf>
    <xf numFmtId="164" fontId="10" fillId="4" borderId="0" xfId="0" applyNumberFormat="1" applyFont="1" applyFill="1" applyAlignment="1">
      <alignment horizontal="center" vertical="center"/>
    </xf>
    <xf numFmtId="165" fontId="7" fillId="0" borderId="7" xfId="1" applyNumberFormat="1" applyFont="1" applyBorder="1"/>
    <xf numFmtId="0" fontId="11" fillId="0" borderId="0" xfId="0" applyFont="1" applyAlignment="1">
      <alignment horizontal="left" indent="1"/>
    </xf>
    <xf numFmtId="165" fontId="12" fillId="0" borderId="7" xfId="1" applyNumberFormat="1" applyFont="1" applyBorder="1"/>
    <xf numFmtId="165" fontId="13" fillId="0" borderId="7" xfId="1" applyNumberFormat="1" applyFont="1" applyBorder="1"/>
    <xf numFmtId="165" fontId="14" fillId="0" borderId="7" xfId="1" applyNumberFormat="1" applyFont="1" applyBorder="1"/>
    <xf numFmtId="0" fontId="15" fillId="0" borderId="0" xfId="0" applyFont="1" applyAlignment="1">
      <alignment horizontal="left" indent="1"/>
    </xf>
    <xf numFmtId="164" fontId="10" fillId="6" borderId="0" xfId="0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16" fillId="0" borderId="0" xfId="0" applyFont="1"/>
    <xf numFmtId="164" fontId="10" fillId="7" borderId="0" xfId="0" applyNumberFormat="1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7" fillId="0" borderId="0" xfId="0" applyFont="1"/>
    <xf numFmtId="0" fontId="18" fillId="0" borderId="0" xfId="0" applyFont="1" applyAlignment="1">
      <alignment horizontal="right"/>
    </xf>
    <xf numFmtId="0" fontId="19" fillId="0" borderId="0" xfId="0" applyFont="1" applyAlignment="1">
      <alignment horizontal="right"/>
    </xf>
    <xf numFmtId="165" fontId="7" fillId="0" borderId="6" xfId="0" applyNumberFormat="1" applyFont="1" applyBorder="1"/>
    <xf numFmtId="165" fontId="13" fillId="0" borderId="6" xfId="0" applyNumberFormat="1" applyFont="1" applyBorder="1"/>
    <xf numFmtId="0" fontId="9" fillId="0" borderId="6" xfId="0" applyFont="1" applyBorder="1" applyAlignment="1">
      <alignment horizontal="center" vertical="center"/>
    </xf>
    <xf numFmtId="0" fontId="0" fillId="3" borderId="0" xfId="0" applyFill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15" fontId="6" fillId="0" borderId="0" xfId="0" applyNumberFormat="1" applyFont="1" applyAlignment="1">
      <alignment horizontal="left" indent="1"/>
    </xf>
    <xf numFmtId="43" fontId="6" fillId="0" borderId="0" xfId="1" applyFont="1" applyAlignment="1">
      <alignment horizontal="left" indent="1"/>
    </xf>
    <xf numFmtId="0" fontId="23" fillId="0" borderId="0" xfId="0" applyFont="1" applyAlignment="1">
      <alignment horizontal="left" indent="1"/>
    </xf>
    <xf numFmtId="0" fontId="24" fillId="8" borderId="0" xfId="0" applyFont="1" applyFill="1" applyAlignment="1">
      <alignment horizontal="left" vertical="center" indent="2"/>
    </xf>
    <xf numFmtId="0" fontId="24" fillId="8" borderId="0" xfId="0" applyFont="1" applyFill="1" applyAlignment="1">
      <alignment horizontal="left" vertical="center" indent="1"/>
    </xf>
    <xf numFmtId="43" fontId="17" fillId="0" borderId="0" xfId="1" applyFont="1" applyAlignment="1">
      <alignment horizontal="left" indent="2"/>
    </xf>
    <xf numFmtId="0" fontId="4" fillId="0" borderId="0" xfId="0" applyFont="1" applyAlignment="1">
      <alignment horizontal="left" indent="1"/>
    </xf>
    <xf numFmtId="15" fontId="17" fillId="0" borderId="0" xfId="1" applyNumberFormat="1" applyFont="1" applyAlignment="1">
      <alignment horizontal="right" indent="1"/>
    </xf>
    <xf numFmtId="0" fontId="20" fillId="0" borderId="0" xfId="0" applyFont="1"/>
    <xf numFmtId="0" fontId="3" fillId="0" borderId="0" xfId="0" applyFont="1"/>
    <xf numFmtId="0" fontId="0" fillId="8" borderId="0" xfId="0" applyFill="1"/>
    <xf numFmtId="0" fontId="25" fillId="8" borderId="0" xfId="0" applyFont="1" applyFill="1"/>
    <xf numFmtId="0" fontId="6" fillId="0" borderId="0" xfId="0" applyFont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166" fontId="6" fillId="0" borderId="17" xfId="0" applyNumberFormat="1" applyFont="1" applyBorder="1" applyAlignment="1">
      <alignment horizontal="center" vertical="center"/>
    </xf>
    <xf numFmtId="166" fontId="6" fillId="0" borderId="13" xfId="0" applyNumberFormat="1" applyFont="1" applyBorder="1" applyAlignment="1">
      <alignment horizontal="center" vertical="center"/>
    </xf>
    <xf numFmtId="0" fontId="30" fillId="0" borderId="0" xfId="0" applyFont="1"/>
    <xf numFmtId="43" fontId="21" fillId="0" borderId="0" xfId="1" applyFont="1"/>
    <xf numFmtId="0" fontId="0" fillId="0" borderId="0" xfId="1" applyNumberFormat="1" applyFont="1"/>
    <xf numFmtId="0" fontId="30" fillId="0" borderId="18" xfId="0" applyFont="1" applyBorder="1"/>
    <xf numFmtId="0" fontId="7" fillId="0" borderId="18" xfId="0" applyFont="1" applyBorder="1"/>
    <xf numFmtId="0" fontId="7" fillId="0" borderId="0" xfId="0" applyFont="1" applyAlignment="1">
      <alignment horizontal="right"/>
    </xf>
    <xf numFmtId="0" fontId="27" fillId="8" borderId="0" xfId="0" applyFont="1" applyFill="1" applyAlignment="1">
      <alignment horizontal="center" vertical="center"/>
    </xf>
    <xf numFmtId="0" fontId="27" fillId="8" borderId="8" xfId="0" applyFont="1" applyFill="1" applyBorder="1" applyAlignment="1">
      <alignment horizontal="center" vertical="center"/>
    </xf>
    <xf numFmtId="0" fontId="27" fillId="8" borderId="9" xfId="0" applyFont="1" applyFill="1" applyBorder="1" applyAlignment="1">
      <alignment horizontal="center" vertical="center"/>
    </xf>
    <xf numFmtId="43" fontId="0" fillId="0" borderId="0" xfId="1" applyFont="1" applyBorder="1"/>
    <xf numFmtId="43" fontId="0" fillId="0" borderId="9" xfId="1" applyFont="1" applyBorder="1"/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7" fillId="8" borderId="17" xfId="0" applyFont="1" applyFill="1" applyBorder="1" applyAlignment="1">
      <alignment horizontal="center" vertical="center"/>
    </xf>
    <xf numFmtId="0" fontId="0" fillId="0" borderId="17" xfId="0" applyBorder="1"/>
    <xf numFmtId="0" fontId="31" fillId="0" borderId="0" xfId="0" applyFont="1" applyAlignment="1">
      <alignment horizontal="center" vertical="center"/>
    </xf>
    <xf numFmtId="9" fontId="31" fillId="0" borderId="0" xfId="2" applyFont="1" applyAlignment="1">
      <alignment horizontal="center" vertical="center"/>
    </xf>
    <xf numFmtId="0" fontId="31" fillId="0" borderId="0" xfId="0" applyFont="1" applyAlignment="1">
      <alignment horizontal="left" vertical="center"/>
    </xf>
    <xf numFmtId="165" fontId="31" fillId="0" borderId="0" xfId="1" applyNumberFormat="1" applyFont="1" applyAlignment="1">
      <alignment horizontal="center" vertical="center"/>
    </xf>
    <xf numFmtId="0" fontId="11" fillId="5" borderId="0" xfId="0" applyFont="1" applyFill="1" applyAlignment="1">
      <alignment horizontal="left" indent="1"/>
    </xf>
    <xf numFmtId="165" fontId="12" fillId="9" borderId="7" xfId="1" applyNumberFormat="1" applyFont="1" applyFill="1" applyBorder="1"/>
    <xf numFmtId="0" fontId="0" fillId="0" borderId="19" xfId="0" applyBorder="1"/>
    <xf numFmtId="0" fontId="0" fillId="0" borderId="16" xfId="0" applyBorder="1"/>
    <xf numFmtId="0" fontId="0" fillId="0" borderId="20" xfId="0" applyBorder="1"/>
    <xf numFmtId="0" fontId="0" fillId="0" borderId="21" xfId="0" applyBorder="1"/>
    <xf numFmtId="0" fontId="4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2" xfId="0" applyBorder="1" applyAlignment="1">
      <alignment horizontal="center"/>
    </xf>
    <xf numFmtId="0" fontId="4" fillId="0" borderId="0" xfId="0" applyFont="1" applyAlignment="1">
      <alignment horizontal="center"/>
    </xf>
    <xf numFmtId="0" fontId="26" fillId="0" borderId="0" xfId="0" applyFont="1" applyAlignment="1">
      <alignment vertical="center"/>
    </xf>
    <xf numFmtId="165" fontId="0" fillId="0" borderId="0" xfId="1" applyNumberFormat="1" applyFont="1" applyAlignment="1">
      <alignment horizontal="center"/>
    </xf>
    <xf numFmtId="165" fontId="0" fillId="0" borderId="22" xfId="1" applyNumberFormat="1" applyFont="1" applyBorder="1" applyAlignment="1">
      <alignment horizontal="center"/>
    </xf>
    <xf numFmtId="165" fontId="4" fillId="0" borderId="0" xfId="1" applyNumberFormat="1" applyFont="1" applyAlignment="1">
      <alignment horizontal="center"/>
    </xf>
    <xf numFmtId="0" fontId="6" fillId="0" borderId="0" xfId="0" applyFont="1" applyAlignment="1">
      <alignment horizontal="left" vertical="center" indent="1"/>
    </xf>
    <xf numFmtId="165" fontId="6" fillId="0" borderId="0" xfId="1" applyNumberFormat="1" applyFont="1" applyBorder="1"/>
    <xf numFmtId="0" fontId="9" fillId="0" borderId="23" xfId="0" applyFont="1" applyBorder="1" applyAlignment="1">
      <alignment horizontal="left" vertical="center" indent="1"/>
    </xf>
    <xf numFmtId="165" fontId="9" fillId="0" borderId="23" xfId="1" applyNumberFormat="1" applyFont="1" applyBorder="1"/>
    <xf numFmtId="0" fontId="31" fillId="10" borderId="0" xfId="0" applyFont="1" applyFill="1" applyAlignment="1">
      <alignment horizontal="left" vertical="center"/>
    </xf>
    <xf numFmtId="0" fontId="4" fillId="6" borderId="0" xfId="0" applyFont="1" applyFill="1"/>
    <xf numFmtId="0" fontId="4" fillId="7" borderId="0" xfId="0" applyFont="1" applyFill="1"/>
    <xf numFmtId="0" fontId="4" fillId="0" borderId="0" xfId="0" applyFont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21" fontId="0" fillId="0" borderId="0" xfId="0" applyNumberForma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0" fillId="0" borderId="24" xfId="0" applyBorder="1"/>
    <xf numFmtId="0" fontId="0" fillId="0" borderId="1" xfId="0" applyBorder="1" applyAlignment="1">
      <alignment horizontal="center" vertical="center"/>
    </xf>
    <xf numFmtId="165" fontId="0" fillId="0" borderId="0" xfId="1" applyNumberFormat="1" applyFont="1" applyBorder="1" applyAlignment="1">
      <alignment horizontal="center" vertical="center"/>
    </xf>
    <xf numFmtId="0" fontId="6" fillId="0" borderId="0" xfId="0" applyFont="1"/>
    <xf numFmtId="165" fontId="0" fillId="0" borderId="0" xfId="1" applyNumberFormat="1" applyFont="1"/>
    <xf numFmtId="165" fontId="0" fillId="0" borderId="0" xfId="1" applyNumberFormat="1" applyFont="1" applyAlignment="1">
      <alignment horizontal="center" vertical="center"/>
    </xf>
    <xf numFmtId="165" fontId="0" fillId="0" borderId="1" xfId="1" applyNumberFormat="1" applyFont="1" applyBorder="1"/>
    <xf numFmtId="165" fontId="0" fillId="0" borderId="1" xfId="1" applyNumberFormat="1" applyFont="1" applyBorder="1" applyAlignment="1">
      <alignment horizontal="center" vertical="center"/>
    </xf>
    <xf numFmtId="165" fontId="0" fillId="0" borderId="0" xfId="0" applyNumberFormat="1"/>
    <xf numFmtId="0" fontId="18" fillId="0" borderId="0" xfId="0" applyFont="1"/>
    <xf numFmtId="10" fontId="0" fillId="0" borderId="0" xfId="2" applyNumberFormat="1" applyFont="1"/>
    <xf numFmtId="9" fontId="7" fillId="0" borderId="0" xfId="2" applyFont="1"/>
    <xf numFmtId="165" fontId="7" fillId="0" borderId="0" xfId="0" applyNumberFormat="1" applyFont="1"/>
    <xf numFmtId="15" fontId="34" fillId="0" borderId="0" xfId="0" applyNumberFormat="1" applyFont="1"/>
    <xf numFmtId="43" fontId="17" fillId="0" borderId="0" xfId="1" applyFont="1" applyAlignment="1">
      <alignment horizontal="left" indent="1"/>
    </xf>
    <xf numFmtId="0" fontId="2" fillId="3" borderId="0" xfId="0" applyFont="1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33" fillId="0" borderId="0" xfId="0" applyFont="1" applyAlignment="1">
      <alignment horizontal="left" vertical="top" wrapText="1"/>
    </xf>
    <xf numFmtId="0" fontId="33" fillId="0" borderId="0" xfId="0" applyFont="1" applyAlignment="1">
      <alignment horizontal="left" vertical="top"/>
    </xf>
    <xf numFmtId="166" fontId="6" fillId="5" borderId="16" xfId="0" applyNumberFormat="1" applyFont="1" applyFill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6" fillId="5" borderId="16" xfId="0" applyFont="1" applyFill="1" applyBorder="1" applyAlignment="1">
      <alignment horizontal="center" vertical="center"/>
    </xf>
    <xf numFmtId="0" fontId="28" fillId="0" borderId="0" xfId="0" applyFont="1" applyAlignment="1">
      <alignment horizontal="right" indent="2"/>
    </xf>
    <xf numFmtId="164" fontId="0" fillId="0" borderId="24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5" fillId="12" borderId="0" xfId="0" applyFont="1" applyFill="1" applyAlignment="1">
      <alignment horizontal="left" vertical="center"/>
    </xf>
    <xf numFmtId="0" fontId="2" fillId="12" borderId="0" xfId="0" applyFont="1" applyFill="1" applyAlignment="1">
      <alignment horizontal="center" vertical="center"/>
    </xf>
    <xf numFmtId="0" fontId="6" fillId="13" borderId="0" xfId="0" applyFont="1" applyFill="1" applyAlignment="1">
      <alignment horizontal="center" vertical="center"/>
    </xf>
    <xf numFmtId="0" fontId="8" fillId="12" borderId="0" xfId="0" applyFont="1" applyFill="1" applyAlignment="1">
      <alignment horizontal="left" vertical="center"/>
    </xf>
    <xf numFmtId="0" fontId="22" fillId="12" borderId="0" xfId="0" applyFont="1" applyFill="1" applyAlignment="1">
      <alignment vertical="center"/>
    </xf>
    <xf numFmtId="0" fontId="22" fillId="12" borderId="0" xfId="0" applyFont="1" applyFill="1" applyAlignment="1">
      <alignment horizontal="center" vertical="center"/>
    </xf>
    <xf numFmtId="0" fontId="0" fillId="12" borderId="0" xfId="0" applyFill="1"/>
    <xf numFmtId="0" fontId="0" fillId="12" borderId="0" xfId="0" applyFill="1" applyAlignment="1">
      <alignment horizontal="left" vertical="center" indent="1"/>
    </xf>
    <xf numFmtId="0" fontId="0" fillId="12" borderId="0" xfId="0" applyFill="1" applyAlignment="1">
      <alignment horizontal="center" vertical="center"/>
    </xf>
    <xf numFmtId="0" fontId="22" fillId="12" borderId="0" xfId="0" applyFont="1" applyFill="1"/>
    <xf numFmtId="0" fontId="10" fillId="12" borderId="0" xfId="0" applyFont="1" applyFill="1" applyAlignment="1">
      <alignment horizontal="center" vertical="center"/>
    </xf>
    <xf numFmtId="0" fontId="2" fillId="12" borderId="0" xfId="0" applyFont="1" applyFill="1" applyAlignment="1">
      <alignment horizontal="center"/>
    </xf>
    <xf numFmtId="0" fontId="37" fillId="8" borderId="0" xfId="0" applyFont="1" applyFill="1"/>
    <xf numFmtId="0" fontId="26" fillId="12" borderId="0" xfId="0" applyFont="1" applyFill="1" applyAlignment="1">
      <alignment horizontal="center" vertical="center"/>
    </xf>
    <xf numFmtId="0" fontId="26" fillId="12" borderId="0" xfId="0" applyFont="1" applyFill="1" applyAlignment="1">
      <alignment horizontal="left" vertical="center"/>
    </xf>
    <xf numFmtId="0" fontId="38" fillId="0" borderId="21" xfId="0" applyFont="1" applyBorder="1"/>
    <xf numFmtId="0" fontId="39" fillId="0" borderId="0" xfId="0" applyFont="1"/>
    <xf numFmtId="43" fontId="6" fillId="0" borderId="0" xfId="1" applyNumberFormat="1" applyFont="1" applyAlignment="1">
      <alignment horizontal="left" indent="1"/>
    </xf>
    <xf numFmtId="43" fontId="17" fillId="0" borderId="0" xfId="1" applyNumberFormat="1" applyFont="1" applyAlignment="1">
      <alignment horizontal="left" indent="1"/>
    </xf>
    <xf numFmtId="168" fontId="17" fillId="0" borderId="0" xfId="1" applyNumberFormat="1" applyFont="1" applyAlignment="1">
      <alignment horizontal="right" indent="1"/>
    </xf>
  </cellXfs>
  <cellStyles count="3">
    <cellStyle name="Comma" xfId="1" builtinId="3"/>
    <cellStyle name="Normal" xfId="0" builtinId="0"/>
    <cellStyle name="Per cent" xfId="2" builtinId="5"/>
  </cellStyles>
  <dxfs count="69">
    <dxf>
      <font>
        <color theme="1"/>
      </font>
      <fill>
        <patternFill>
          <bgColor rgb="FFFFEBF5"/>
        </patternFill>
      </fill>
    </dxf>
    <dxf>
      <font>
        <color theme="1"/>
      </font>
      <fill>
        <patternFill>
          <bgColor rgb="FFFFEBF5"/>
        </patternFill>
      </fill>
    </dxf>
    <dxf>
      <fill>
        <patternFill>
          <bgColor theme="0" tint="-4.9989318521683403E-2"/>
        </patternFill>
      </fill>
    </dxf>
    <dxf>
      <fill>
        <patternFill>
          <bgColor rgb="FFD8F4FF"/>
        </patternFill>
      </fill>
    </dxf>
    <dxf>
      <fill>
        <patternFill>
          <bgColor rgb="FF99DDFF"/>
        </patternFill>
      </fill>
    </dxf>
    <dxf>
      <fill>
        <patternFill>
          <bgColor rgb="FF66CCFF"/>
        </patternFill>
      </fill>
    </dxf>
    <dxf>
      <fill>
        <patternFill>
          <bgColor rgb="FF0099FF"/>
        </patternFill>
      </fill>
    </dxf>
    <dxf>
      <fill>
        <patternFill>
          <bgColor rgb="FF0066CC"/>
        </patternFill>
      </fill>
    </dxf>
    <dxf>
      <fill>
        <patternFill>
          <bgColor theme="0" tint="-4.9989318521683403E-2"/>
        </patternFill>
      </fill>
    </dxf>
    <dxf>
      <fill>
        <patternFill>
          <bgColor rgb="FFFFE6F0"/>
        </patternFill>
      </fill>
    </dxf>
    <dxf>
      <fill>
        <patternFill>
          <bgColor rgb="FFFFB3D1"/>
        </patternFill>
      </fill>
    </dxf>
    <dxf>
      <fill>
        <patternFill>
          <bgColor rgb="FFFF80BF"/>
        </patternFill>
      </fill>
    </dxf>
    <dxf>
      <fill>
        <patternFill>
          <bgColor rgb="FFFF3399"/>
        </patternFill>
      </fill>
    </dxf>
    <dxf>
      <fill>
        <patternFill>
          <bgColor rgb="FFB32473"/>
        </patternFill>
      </fill>
    </dxf>
    <dxf>
      <fill>
        <patternFill>
          <bgColor theme="0" tint="-4.9989318521683403E-2"/>
        </patternFill>
      </fill>
    </dxf>
    <dxf>
      <fill>
        <patternFill>
          <bgColor rgb="FFD8F4EF"/>
        </patternFill>
      </fill>
    </dxf>
    <dxf>
      <fill>
        <patternFill>
          <bgColor rgb="FFB7EADE"/>
        </patternFill>
      </fill>
    </dxf>
    <dxf>
      <fill>
        <patternFill>
          <bgColor rgb="FF93DFCE"/>
        </patternFill>
      </fill>
    </dxf>
    <dxf>
      <fill>
        <patternFill>
          <bgColor rgb="FF00CC99"/>
        </patternFill>
      </fill>
    </dxf>
    <dxf>
      <fill>
        <patternFill>
          <bgColor rgb="FF2FA087"/>
        </patternFill>
      </fill>
    </dxf>
    <dxf>
      <fill>
        <patternFill>
          <bgColor rgb="FFE6FAF5"/>
        </patternFill>
      </fill>
    </dxf>
    <dxf>
      <fill>
        <patternFill>
          <bgColor rgb="FFFFD6EB"/>
        </patternFill>
      </fill>
    </dxf>
    <dxf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00CC99"/>
        </patternFill>
      </fill>
    </dxf>
    <dxf>
      <font>
        <b/>
        <i val="0"/>
        <color theme="0"/>
      </font>
      <fill>
        <patternFill>
          <bgColor rgb="FFFF3399"/>
        </patternFill>
      </fill>
    </dxf>
    <dxf>
      <font>
        <b/>
        <i val="0"/>
        <color theme="0"/>
      </font>
      <fill>
        <patternFill>
          <bgColor rgb="FF0099FF"/>
        </patternFill>
      </fill>
    </dxf>
    <dxf>
      <font>
        <b/>
        <i val="0"/>
      </font>
      <border>
        <top style="thin">
          <color auto="1"/>
        </top>
        <vertical/>
        <horizontal/>
      </border>
    </dxf>
    <dxf>
      <font>
        <color theme="0" tint="-0.499984740745262"/>
      </font>
      <numFmt numFmtId="167" formatCode="\→\ d\-mmm\-yy"/>
    </dxf>
    <dxf>
      <font>
        <b/>
        <i val="0"/>
        <color rgb="FF00CC99"/>
      </font>
      <numFmt numFmtId="7" formatCode="#,##0.00_);\(#,##0.00\)"/>
    </dxf>
    <dxf>
      <font>
        <color rgb="FFFF0000"/>
      </font>
    </dxf>
    <dxf>
      <font>
        <color theme="1"/>
      </font>
      <fill>
        <patternFill>
          <bgColor rgb="FFFFEBF5"/>
        </patternFill>
      </fill>
    </dxf>
    <dxf>
      <font>
        <color theme="1"/>
      </font>
      <fill>
        <patternFill>
          <bgColor rgb="FFE6F5FF"/>
        </patternFill>
      </fill>
    </dxf>
    <dxf>
      <font>
        <color theme="1"/>
      </font>
      <fill>
        <patternFill>
          <bgColor rgb="FFFFEBF5"/>
        </patternFill>
      </fill>
    </dxf>
    <dxf>
      <font>
        <color rgb="FFFF0000"/>
      </font>
    </dxf>
    <dxf>
      <font>
        <color rgb="FF00CC99"/>
      </font>
    </dxf>
    <dxf>
      <font>
        <color theme="0" tint="-0.24994659260841701"/>
      </font>
    </dxf>
    <dxf>
      <font>
        <color theme="1"/>
      </font>
      <fill>
        <patternFill>
          <bgColor rgb="FFFFEBF5"/>
        </patternFill>
      </fill>
    </dxf>
    <dxf>
      <font>
        <color theme="1"/>
      </font>
      <fill>
        <patternFill>
          <bgColor rgb="FFE6F5FF"/>
        </patternFill>
      </fill>
    </dxf>
    <dxf>
      <font>
        <color theme="1"/>
      </font>
      <fill>
        <patternFill>
          <bgColor rgb="FFFFEBF5"/>
        </patternFill>
      </fill>
    </dxf>
    <dxf>
      <font>
        <color theme="1"/>
      </font>
      <fill>
        <patternFill>
          <bgColor rgb="FFE6FAF5"/>
        </patternFill>
      </fill>
    </dxf>
    <dxf>
      <font>
        <color theme="0" tint="-0.24994659260841701"/>
      </font>
      <fill>
        <patternFill>
          <bgColor theme="0" tint="-4.9989318521683403E-2"/>
        </patternFill>
      </fill>
    </dxf>
    <dxf>
      <font>
        <color theme="0" tint="-0.499984740745262"/>
      </font>
      <numFmt numFmtId="167" formatCode="\→\ d\-mmm\-yy"/>
    </dxf>
    <dxf>
      <font>
        <strike val="0"/>
        <outline val="0"/>
        <shadow val="0"/>
        <u val="none"/>
        <vertAlign val="baseline"/>
        <sz val="10"/>
        <color theme="0" tint="-0.249977111117893"/>
        <name val="Aptos Narrow"/>
        <family val="2"/>
        <scheme val="minor"/>
      </font>
      <numFmt numFmtId="168" formatCode="d\-mmm\-yy"/>
      <alignment horizontal="righ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0" tint="-0.249977111117893"/>
        <name val="Aptos Narrow"/>
        <family val="2"/>
        <scheme val="minor"/>
      </font>
      <numFmt numFmtId="35" formatCode="_(* #,##0.00_);_(* \(#,##0.00\);_(* &quot;-&quot;??_);_(@_)"/>
      <alignment horizontal="left" vertical="bottom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0" tint="-0.499984740745262"/>
        <name val="Aptos Narrow"/>
        <family val="2"/>
        <scheme val="minor"/>
      </font>
      <alignment horizontal="left" vertical="bottom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35" formatCode="_(* #,##0.00_);_(* \(#,##0.00\);_(* &quot;-&quot;??_);_(@_)"/>
      <alignment horizontal="left" vertical="bottom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bottom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bottom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20" formatCode="dd\-mmm\-yy"/>
      <alignment horizontal="left" vertical="bottom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bottom" textRotation="0" wrapText="0" relativeIndent="1" justifyLastLine="0" shrinkToFit="0" readingOrder="0"/>
    </dxf>
    <dxf>
      <alignment horizontal="left" vertical="center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Aptos Narrow"/>
        <family val="2"/>
        <scheme val="minor"/>
      </font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Aptos Narrow"/>
        <family val="2"/>
        <scheme val="minor"/>
      </font>
      <alignment horizontal="left" vertical="bottom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0099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Aptos Narrow"/>
        <family val="2"/>
        <scheme val="minor"/>
      </font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Aptos Narrow"/>
        <family val="2"/>
        <scheme val="minor"/>
      </font>
      <alignment horizontal="left" vertical="bottom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FF33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Aptos Narrow"/>
        <family val="2"/>
        <scheme val="minor"/>
      </font>
      <fill>
        <patternFill patternType="solid">
          <fgColor indexed="64"/>
          <bgColor rgb="FFE6FAF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Aptos Narrow"/>
        <family val="2"/>
        <scheme val="minor"/>
      </font>
      <fill>
        <patternFill patternType="solid">
          <fgColor indexed="64"/>
          <bgColor rgb="FFE6FAF5"/>
        </patternFill>
      </fill>
      <alignment horizontal="left" vertical="bottom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>
          <bgColor theme="0" tint="-4.9989318521683403E-2"/>
        </patternFill>
      </fill>
    </dxf>
    <dxf>
      <font>
        <b/>
        <i val="0"/>
        <color theme="0"/>
      </font>
      <fill>
        <patternFill>
          <bgColor theme="4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b/>
        <i val="0"/>
        <color theme="0"/>
      </font>
      <fill>
        <patternFill>
          <bgColor rgb="FF0099FF"/>
        </patternFill>
      </fill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b/>
        <i val="0"/>
        <color theme="0"/>
      </font>
      <fill>
        <patternFill>
          <bgColor rgb="FF00CC99"/>
        </patternFill>
      </fill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b/>
        <i val="0"/>
        <color theme="0"/>
      </font>
      <fill>
        <patternFill>
          <bgColor rgb="FFFF3399"/>
        </patternFill>
      </fill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4" defaultTableStyle="TableStyleMedium2" defaultPivotStyle="PivotStyleLight16">
    <tableStyle name="Expenses Table Style" pivot="0" count="2" xr9:uid="{2AB3F922-6B73-41FC-83D6-E064A8B115CE}">
      <tableStyleElement type="wholeTable" dxfId="68"/>
      <tableStyleElement type="headerRow" dxfId="67"/>
    </tableStyle>
    <tableStyle name="Income Table Style" pivot="0" count="2" xr9:uid="{D562B86D-3153-4872-BF9A-C3A4ACABCDCF}">
      <tableStyleElement type="wholeTable" dxfId="66"/>
      <tableStyleElement type="headerRow" dxfId="65"/>
    </tableStyle>
    <tableStyle name="Savings Table Style" pivot="0" count="2" xr9:uid="{EEC887C7-8D47-4AEA-BC3E-B3B257F5D06A}">
      <tableStyleElement type="wholeTable" dxfId="64"/>
      <tableStyleElement type="headerRow" dxfId="63"/>
    </tableStyle>
    <tableStyle name="Tracking Table Style" pivot="0" count="3" xr9:uid="{E475E389-386A-4A8A-8D5D-3D47515BDC91}">
      <tableStyleElement type="wholeTable" dxfId="62"/>
      <tableStyleElement type="headerRow" dxfId="61"/>
      <tableStyleElement type="firstRowStripe" dxfId="60"/>
    </tableStyle>
  </tableStyles>
  <colors>
    <mruColors>
      <color rgb="FF0099FF"/>
      <color rgb="FF0066FF"/>
      <color rgb="FFD8F4FF"/>
      <color rgb="FFFFE6F0"/>
      <color rgb="FFD8F4EF"/>
      <color rgb="FF99DDFF"/>
      <color rgb="FFFFB3D1"/>
      <color rgb="FFB32473"/>
      <color rgb="FFFF3399"/>
      <color rgb="FFFF80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rgbClr val="009F78"/>
            </a:solidFill>
          </c:spPr>
          <c:dPt>
            <c:idx val="0"/>
            <c:bubble3D val="0"/>
            <c:spPr>
              <a:solidFill>
                <a:srgbClr val="2FA08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551-480B-83F7-07E28083EC7D}"/>
              </c:ext>
            </c:extLst>
          </c:dPt>
          <c:dPt>
            <c:idx val="1"/>
            <c:bubble3D val="0"/>
            <c:spPr>
              <a:solidFill>
                <a:srgbClr val="00CC9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551-480B-83F7-07E28083EC7D}"/>
              </c:ext>
            </c:extLst>
          </c:dPt>
          <c:dPt>
            <c:idx val="2"/>
            <c:bubble3D val="0"/>
            <c:spPr>
              <a:solidFill>
                <a:srgbClr val="93DFC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551-480B-83F7-07E28083EC7D}"/>
              </c:ext>
            </c:extLst>
          </c:dPt>
          <c:dPt>
            <c:idx val="3"/>
            <c:bubble3D val="0"/>
            <c:spPr>
              <a:solidFill>
                <a:srgbClr val="B7EAD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551-480B-83F7-07E28083EC7D}"/>
              </c:ext>
            </c:extLst>
          </c:dPt>
          <c:dPt>
            <c:idx val="4"/>
            <c:bubble3D val="0"/>
            <c:spPr>
              <a:solidFill>
                <a:srgbClr val="D8F4E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551-480B-83F7-07E28083EC7D}"/>
              </c:ext>
            </c:extLst>
          </c:dPt>
          <c:dPt>
            <c:idx val="5"/>
            <c:bubble3D val="0"/>
            <c:spPr>
              <a:solidFill>
                <a:schemeClr val="bg1">
                  <a:lumMod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551-480B-83F7-07E28083EC7D}"/>
              </c:ext>
            </c:extLst>
          </c:dPt>
          <c:cat>
            <c:multiLvlStrRef>
              <c:f>Calculations!$E$35:$E$40</c:f>
            </c:multiLvlStrRef>
          </c:cat>
          <c:val>
            <c:numRef>
              <c:f>Calculations!$F$35:$F$40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551-480B-83F7-07E28083EC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rgbClr val="009F78"/>
            </a:solidFill>
          </c:spPr>
          <c:dPt>
            <c:idx val="0"/>
            <c:bubble3D val="0"/>
            <c:spPr>
              <a:solidFill>
                <a:srgbClr val="B3247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E61-43B2-AED5-D22F99C2A748}"/>
              </c:ext>
            </c:extLst>
          </c:dPt>
          <c:dPt>
            <c:idx val="1"/>
            <c:bubble3D val="0"/>
            <c:spPr>
              <a:solidFill>
                <a:srgbClr val="FF339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E61-43B2-AED5-D22F99C2A748}"/>
              </c:ext>
            </c:extLst>
          </c:dPt>
          <c:dPt>
            <c:idx val="2"/>
            <c:bubble3D val="0"/>
            <c:spPr>
              <a:solidFill>
                <a:srgbClr val="FF80B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E61-43B2-AED5-D22F99C2A748}"/>
              </c:ext>
            </c:extLst>
          </c:dPt>
          <c:dPt>
            <c:idx val="3"/>
            <c:bubble3D val="0"/>
            <c:spPr>
              <a:solidFill>
                <a:srgbClr val="FFB3D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E61-43B2-AED5-D22F99C2A748}"/>
              </c:ext>
            </c:extLst>
          </c:dPt>
          <c:dPt>
            <c:idx val="4"/>
            <c:bubble3D val="0"/>
            <c:spPr>
              <a:solidFill>
                <a:srgbClr val="FFE6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E61-43B2-AED5-D22F99C2A748}"/>
              </c:ext>
            </c:extLst>
          </c:dPt>
          <c:dPt>
            <c:idx val="5"/>
            <c:bubble3D val="0"/>
            <c:spPr>
              <a:solidFill>
                <a:schemeClr val="bg1">
                  <a:lumMod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E61-43B2-AED5-D22F99C2A748}"/>
              </c:ext>
            </c:extLst>
          </c:dPt>
          <c:cat>
            <c:multiLvlStrRef>
              <c:f>Calculations!$I$35:$I$40</c:f>
            </c:multiLvlStrRef>
          </c:cat>
          <c:val>
            <c:numRef>
              <c:f>Calculations!$J$35:$J$40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E61-43B2-AED5-D22F99C2A7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rgbClr val="009F78"/>
            </a:solidFill>
          </c:spPr>
          <c:dPt>
            <c:idx val="0"/>
            <c:bubble3D val="0"/>
            <c:spPr>
              <a:solidFill>
                <a:srgbClr val="0066C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6CF-4D58-8124-521A56F9BB81}"/>
              </c:ext>
            </c:extLst>
          </c:dPt>
          <c:dPt>
            <c:idx val="1"/>
            <c:bubble3D val="0"/>
            <c:spPr>
              <a:solidFill>
                <a:srgbClr val="0099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6CF-4D58-8124-521A56F9BB81}"/>
              </c:ext>
            </c:extLst>
          </c:dPt>
          <c:dPt>
            <c:idx val="2"/>
            <c:bubble3D val="0"/>
            <c:spPr>
              <a:solidFill>
                <a:srgbClr val="66CC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6CF-4D58-8124-521A56F9BB81}"/>
              </c:ext>
            </c:extLst>
          </c:dPt>
          <c:dPt>
            <c:idx val="3"/>
            <c:bubble3D val="0"/>
            <c:spPr>
              <a:solidFill>
                <a:srgbClr val="99DD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6CF-4D58-8124-521A56F9BB81}"/>
              </c:ext>
            </c:extLst>
          </c:dPt>
          <c:dPt>
            <c:idx val="4"/>
            <c:bubble3D val="0"/>
            <c:spPr>
              <a:solidFill>
                <a:srgbClr val="D8F4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6CF-4D58-8124-521A56F9BB81}"/>
              </c:ext>
            </c:extLst>
          </c:dPt>
          <c:dPt>
            <c:idx val="5"/>
            <c:bubble3D val="0"/>
            <c:spPr>
              <a:solidFill>
                <a:schemeClr val="bg1">
                  <a:lumMod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6CF-4D58-8124-521A56F9BB81}"/>
              </c:ext>
            </c:extLst>
          </c:dPt>
          <c:cat>
            <c:multiLvlStrRef>
              <c:f>Calculations!$M$35:$M$40</c:f>
            </c:multiLvlStrRef>
          </c:cat>
          <c:val>
            <c:numRef>
              <c:f>Calculations!$N$35:$N$40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6CF-4D58-8124-521A56F9B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rgbClr val="00CC99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339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3B-43F3-A7DC-C54646EC76B1}"/>
              </c:ext>
            </c:extLst>
          </c:dPt>
          <c:dPt>
            <c:idx val="2"/>
            <c:invertIfNegative val="0"/>
            <c:bubble3D val="0"/>
            <c:spPr>
              <a:solidFill>
                <a:srgbClr val="0099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3B-43F3-A7DC-C54646EC76B1}"/>
              </c:ext>
            </c:extLst>
          </c:dPt>
          <c:dPt>
            <c:idx val="5"/>
            <c:invertIfNegative val="0"/>
            <c:bubble3D val="0"/>
            <c:spPr>
              <a:solidFill>
                <a:srgbClr val="FF339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3B-43F3-A7DC-C54646EC76B1}"/>
              </c:ext>
            </c:extLst>
          </c:dPt>
          <c:dPt>
            <c:idx val="6"/>
            <c:invertIfNegative val="0"/>
            <c:bubble3D val="0"/>
            <c:spPr>
              <a:solidFill>
                <a:srgbClr val="0099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3B-43F3-A7DC-C54646EC76B1}"/>
              </c:ext>
            </c:extLst>
          </c:dPt>
          <c:dPt>
            <c:idx val="9"/>
            <c:invertIfNegative val="0"/>
            <c:bubble3D val="0"/>
            <c:spPr>
              <a:solidFill>
                <a:srgbClr val="FF339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C3B-43F3-A7DC-C54646EC76B1}"/>
              </c:ext>
            </c:extLst>
          </c:dPt>
          <c:dPt>
            <c:idx val="10"/>
            <c:invertIfNegative val="0"/>
            <c:bubble3D val="0"/>
            <c:spPr>
              <a:solidFill>
                <a:srgbClr val="0099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C3B-43F3-A7DC-C54646EC76B1}"/>
              </c:ext>
            </c:extLst>
          </c:dPt>
          <c:dPt>
            <c:idx val="13"/>
            <c:invertIfNegative val="0"/>
            <c:bubble3D val="0"/>
            <c:spPr>
              <a:solidFill>
                <a:srgbClr val="FF339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BC3B-43F3-A7DC-C54646EC76B1}"/>
              </c:ext>
            </c:extLst>
          </c:dPt>
          <c:dPt>
            <c:idx val="14"/>
            <c:invertIfNegative val="0"/>
            <c:bubble3D val="0"/>
            <c:spPr>
              <a:solidFill>
                <a:srgbClr val="0099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BC3B-43F3-A7DC-C54646EC76B1}"/>
              </c:ext>
            </c:extLst>
          </c:dPt>
          <c:dPt>
            <c:idx val="17"/>
            <c:invertIfNegative val="0"/>
            <c:bubble3D val="0"/>
            <c:spPr>
              <a:solidFill>
                <a:srgbClr val="FF339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BC3B-43F3-A7DC-C54646EC76B1}"/>
              </c:ext>
            </c:extLst>
          </c:dPt>
          <c:dPt>
            <c:idx val="18"/>
            <c:invertIfNegative val="0"/>
            <c:bubble3D val="0"/>
            <c:spPr>
              <a:solidFill>
                <a:srgbClr val="0099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BC3B-43F3-A7DC-C54646EC76B1}"/>
              </c:ext>
            </c:extLst>
          </c:dPt>
          <c:dPt>
            <c:idx val="21"/>
            <c:invertIfNegative val="0"/>
            <c:bubble3D val="0"/>
            <c:spPr>
              <a:solidFill>
                <a:srgbClr val="FF339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BC3B-43F3-A7DC-C54646EC76B1}"/>
              </c:ext>
            </c:extLst>
          </c:dPt>
          <c:dPt>
            <c:idx val="22"/>
            <c:invertIfNegative val="0"/>
            <c:bubble3D val="0"/>
            <c:spPr>
              <a:solidFill>
                <a:srgbClr val="0099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BC3B-43F3-A7DC-C54646EC76B1}"/>
              </c:ext>
            </c:extLst>
          </c:dPt>
          <c:dPt>
            <c:idx val="25"/>
            <c:invertIfNegative val="0"/>
            <c:bubble3D val="0"/>
            <c:spPr>
              <a:solidFill>
                <a:srgbClr val="FF339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BC3B-43F3-A7DC-C54646EC76B1}"/>
              </c:ext>
            </c:extLst>
          </c:dPt>
          <c:dPt>
            <c:idx val="26"/>
            <c:invertIfNegative val="0"/>
            <c:bubble3D val="0"/>
            <c:spPr>
              <a:solidFill>
                <a:srgbClr val="0099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BC3B-43F3-A7DC-C54646EC76B1}"/>
              </c:ext>
            </c:extLst>
          </c:dPt>
          <c:dPt>
            <c:idx val="29"/>
            <c:invertIfNegative val="0"/>
            <c:bubble3D val="0"/>
            <c:spPr>
              <a:solidFill>
                <a:srgbClr val="FF339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BC3B-43F3-A7DC-C54646EC76B1}"/>
              </c:ext>
            </c:extLst>
          </c:dPt>
          <c:dPt>
            <c:idx val="30"/>
            <c:invertIfNegative val="0"/>
            <c:bubble3D val="0"/>
            <c:spPr>
              <a:solidFill>
                <a:srgbClr val="0099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BC3B-43F3-A7DC-C54646EC76B1}"/>
              </c:ext>
            </c:extLst>
          </c:dPt>
          <c:dPt>
            <c:idx val="33"/>
            <c:invertIfNegative val="0"/>
            <c:bubble3D val="0"/>
            <c:spPr>
              <a:solidFill>
                <a:srgbClr val="FF339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BC3B-43F3-A7DC-C54646EC76B1}"/>
              </c:ext>
            </c:extLst>
          </c:dPt>
          <c:dPt>
            <c:idx val="34"/>
            <c:invertIfNegative val="0"/>
            <c:bubble3D val="0"/>
            <c:spPr>
              <a:solidFill>
                <a:srgbClr val="0099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BC3B-43F3-A7DC-C54646EC76B1}"/>
              </c:ext>
            </c:extLst>
          </c:dPt>
          <c:dPt>
            <c:idx val="37"/>
            <c:invertIfNegative val="0"/>
            <c:bubble3D val="0"/>
            <c:spPr>
              <a:solidFill>
                <a:srgbClr val="FF339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BC3B-43F3-A7DC-C54646EC76B1}"/>
              </c:ext>
            </c:extLst>
          </c:dPt>
          <c:dPt>
            <c:idx val="38"/>
            <c:invertIfNegative val="0"/>
            <c:bubble3D val="0"/>
            <c:spPr>
              <a:solidFill>
                <a:srgbClr val="0099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BC3B-43F3-A7DC-C54646EC76B1}"/>
              </c:ext>
            </c:extLst>
          </c:dPt>
          <c:dPt>
            <c:idx val="41"/>
            <c:invertIfNegative val="0"/>
            <c:bubble3D val="0"/>
            <c:spPr>
              <a:solidFill>
                <a:srgbClr val="FF339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BC3B-43F3-A7DC-C54646EC76B1}"/>
              </c:ext>
            </c:extLst>
          </c:dPt>
          <c:dPt>
            <c:idx val="42"/>
            <c:invertIfNegative val="0"/>
            <c:bubble3D val="0"/>
            <c:spPr>
              <a:solidFill>
                <a:srgbClr val="0099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BC3B-43F3-A7DC-C54646EC76B1}"/>
              </c:ext>
            </c:extLst>
          </c:dPt>
          <c:dPt>
            <c:idx val="45"/>
            <c:invertIfNegative val="0"/>
            <c:bubble3D val="0"/>
            <c:spPr>
              <a:solidFill>
                <a:srgbClr val="FF339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BC3B-43F3-A7DC-C54646EC76B1}"/>
              </c:ext>
            </c:extLst>
          </c:dPt>
          <c:dPt>
            <c:idx val="46"/>
            <c:invertIfNegative val="0"/>
            <c:bubble3D val="0"/>
            <c:spPr>
              <a:solidFill>
                <a:srgbClr val="0099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F-BC3B-43F3-A7DC-C54646EC76B1}"/>
              </c:ext>
            </c:extLst>
          </c:dPt>
          <c:cat>
            <c:numRef>
              <c:f>Calculations!$D$55:$D$102</c:f>
              <c:numCache>
                <c:formatCode>mmm</c:formatCode>
                <c:ptCount val="48"/>
                <c:pt idx="0">
                  <c:v>46023</c:v>
                </c:pt>
                <c:pt idx="4">
                  <c:v>46054</c:v>
                </c:pt>
                <c:pt idx="8">
                  <c:v>46082</c:v>
                </c:pt>
                <c:pt idx="12">
                  <c:v>46113</c:v>
                </c:pt>
                <c:pt idx="16">
                  <c:v>46143</c:v>
                </c:pt>
                <c:pt idx="20">
                  <c:v>46174</c:v>
                </c:pt>
                <c:pt idx="24">
                  <c:v>46204</c:v>
                </c:pt>
                <c:pt idx="28">
                  <c:v>46235</c:v>
                </c:pt>
                <c:pt idx="32">
                  <c:v>46266</c:v>
                </c:pt>
                <c:pt idx="36">
                  <c:v>46296</c:v>
                </c:pt>
                <c:pt idx="40">
                  <c:v>46327</c:v>
                </c:pt>
                <c:pt idx="44">
                  <c:v>46357</c:v>
                </c:pt>
              </c:numCache>
            </c:numRef>
          </c:cat>
          <c:val>
            <c:numRef>
              <c:f>Calculations!$M$55:$M$102</c:f>
              <c:numCache>
                <c:formatCode>_(* #,##0_);_(* \(#,##0\);_(* "-"??_);_(@_)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BC3B-43F3-A7DC-C54646EC76B1}"/>
            </c:ext>
          </c:extLst>
        </c:ser>
        <c:ser>
          <c:idx val="1"/>
          <c:order val="1"/>
          <c:spPr>
            <a:solidFill>
              <a:srgbClr val="D8F4EF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E6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2-BC3B-43F3-A7DC-C54646EC76B1}"/>
              </c:ext>
            </c:extLst>
          </c:dPt>
          <c:dPt>
            <c:idx val="2"/>
            <c:invertIfNegative val="0"/>
            <c:bubble3D val="0"/>
            <c:spPr>
              <a:solidFill>
                <a:srgbClr val="D8F4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4-BC3B-43F3-A7DC-C54646EC76B1}"/>
              </c:ext>
            </c:extLst>
          </c:dPt>
          <c:dPt>
            <c:idx val="5"/>
            <c:invertIfNegative val="0"/>
            <c:bubble3D val="0"/>
            <c:spPr>
              <a:solidFill>
                <a:srgbClr val="FFE6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6-BC3B-43F3-A7DC-C54646EC76B1}"/>
              </c:ext>
            </c:extLst>
          </c:dPt>
          <c:dPt>
            <c:idx val="6"/>
            <c:invertIfNegative val="0"/>
            <c:bubble3D val="0"/>
            <c:spPr>
              <a:solidFill>
                <a:srgbClr val="D8F4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8-BC3B-43F3-A7DC-C54646EC76B1}"/>
              </c:ext>
            </c:extLst>
          </c:dPt>
          <c:dPt>
            <c:idx val="9"/>
            <c:invertIfNegative val="0"/>
            <c:bubble3D val="0"/>
            <c:spPr>
              <a:solidFill>
                <a:srgbClr val="FFE6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A-BC3B-43F3-A7DC-C54646EC76B1}"/>
              </c:ext>
            </c:extLst>
          </c:dPt>
          <c:dPt>
            <c:idx val="10"/>
            <c:invertIfNegative val="0"/>
            <c:bubble3D val="0"/>
            <c:spPr>
              <a:solidFill>
                <a:srgbClr val="D8F4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C-BC3B-43F3-A7DC-C54646EC76B1}"/>
              </c:ext>
            </c:extLst>
          </c:dPt>
          <c:dPt>
            <c:idx val="13"/>
            <c:invertIfNegative val="0"/>
            <c:bubble3D val="0"/>
            <c:spPr>
              <a:solidFill>
                <a:srgbClr val="FFE6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E-BC3B-43F3-A7DC-C54646EC76B1}"/>
              </c:ext>
            </c:extLst>
          </c:dPt>
          <c:dPt>
            <c:idx val="14"/>
            <c:invertIfNegative val="0"/>
            <c:bubble3D val="0"/>
            <c:spPr>
              <a:solidFill>
                <a:srgbClr val="D8F4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0-BC3B-43F3-A7DC-C54646EC76B1}"/>
              </c:ext>
            </c:extLst>
          </c:dPt>
          <c:dPt>
            <c:idx val="17"/>
            <c:invertIfNegative val="0"/>
            <c:bubble3D val="0"/>
            <c:spPr>
              <a:solidFill>
                <a:srgbClr val="FFE6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2-BC3B-43F3-A7DC-C54646EC76B1}"/>
              </c:ext>
            </c:extLst>
          </c:dPt>
          <c:dPt>
            <c:idx val="18"/>
            <c:invertIfNegative val="0"/>
            <c:bubble3D val="0"/>
            <c:spPr>
              <a:solidFill>
                <a:srgbClr val="D8F4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4-BC3B-43F3-A7DC-C54646EC76B1}"/>
              </c:ext>
            </c:extLst>
          </c:dPt>
          <c:dPt>
            <c:idx val="21"/>
            <c:invertIfNegative val="0"/>
            <c:bubble3D val="0"/>
            <c:spPr>
              <a:solidFill>
                <a:srgbClr val="FFE6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6-BC3B-43F3-A7DC-C54646EC76B1}"/>
              </c:ext>
            </c:extLst>
          </c:dPt>
          <c:dPt>
            <c:idx val="22"/>
            <c:invertIfNegative val="0"/>
            <c:bubble3D val="0"/>
            <c:spPr>
              <a:solidFill>
                <a:srgbClr val="D8F4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8-BC3B-43F3-A7DC-C54646EC76B1}"/>
              </c:ext>
            </c:extLst>
          </c:dPt>
          <c:dPt>
            <c:idx val="25"/>
            <c:invertIfNegative val="0"/>
            <c:bubble3D val="0"/>
            <c:spPr>
              <a:solidFill>
                <a:srgbClr val="FFE6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A-BC3B-43F3-A7DC-C54646EC76B1}"/>
              </c:ext>
            </c:extLst>
          </c:dPt>
          <c:dPt>
            <c:idx val="26"/>
            <c:invertIfNegative val="0"/>
            <c:bubble3D val="0"/>
            <c:spPr>
              <a:solidFill>
                <a:srgbClr val="D8F4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C-BC3B-43F3-A7DC-C54646EC76B1}"/>
              </c:ext>
            </c:extLst>
          </c:dPt>
          <c:dPt>
            <c:idx val="29"/>
            <c:invertIfNegative val="0"/>
            <c:bubble3D val="0"/>
            <c:spPr>
              <a:solidFill>
                <a:srgbClr val="FFE6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E-BC3B-43F3-A7DC-C54646EC76B1}"/>
              </c:ext>
            </c:extLst>
          </c:dPt>
          <c:dPt>
            <c:idx val="30"/>
            <c:invertIfNegative val="0"/>
            <c:bubble3D val="0"/>
            <c:spPr>
              <a:solidFill>
                <a:srgbClr val="D8F4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0-BC3B-43F3-A7DC-C54646EC76B1}"/>
              </c:ext>
            </c:extLst>
          </c:dPt>
          <c:dPt>
            <c:idx val="33"/>
            <c:invertIfNegative val="0"/>
            <c:bubble3D val="0"/>
            <c:spPr>
              <a:solidFill>
                <a:srgbClr val="FFE6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2-BC3B-43F3-A7DC-C54646EC76B1}"/>
              </c:ext>
            </c:extLst>
          </c:dPt>
          <c:dPt>
            <c:idx val="34"/>
            <c:invertIfNegative val="0"/>
            <c:bubble3D val="0"/>
            <c:spPr>
              <a:solidFill>
                <a:srgbClr val="D8F4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4-BC3B-43F3-A7DC-C54646EC76B1}"/>
              </c:ext>
            </c:extLst>
          </c:dPt>
          <c:dPt>
            <c:idx val="37"/>
            <c:invertIfNegative val="0"/>
            <c:bubble3D val="0"/>
            <c:spPr>
              <a:solidFill>
                <a:srgbClr val="FFE6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6-BC3B-43F3-A7DC-C54646EC76B1}"/>
              </c:ext>
            </c:extLst>
          </c:dPt>
          <c:dPt>
            <c:idx val="38"/>
            <c:invertIfNegative val="0"/>
            <c:bubble3D val="0"/>
            <c:spPr>
              <a:solidFill>
                <a:srgbClr val="D8F4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8-BC3B-43F3-A7DC-C54646EC76B1}"/>
              </c:ext>
            </c:extLst>
          </c:dPt>
          <c:dPt>
            <c:idx val="41"/>
            <c:invertIfNegative val="0"/>
            <c:bubble3D val="0"/>
            <c:spPr>
              <a:solidFill>
                <a:srgbClr val="FFE6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A-BC3B-43F3-A7DC-C54646EC76B1}"/>
              </c:ext>
            </c:extLst>
          </c:dPt>
          <c:dPt>
            <c:idx val="42"/>
            <c:invertIfNegative val="0"/>
            <c:bubble3D val="0"/>
            <c:spPr>
              <a:solidFill>
                <a:srgbClr val="D8F4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C-BC3B-43F3-A7DC-C54646EC76B1}"/>
              </c:ext>
            </c:extLst>
          </c:dPt>
          <c:dPt>
            <c:idx val="45"/>
            <c:invertIfNegative val="0"/>
            <c:bubble3D val="0"/>
            <c:spPr>
              <a:solidFill>
                <a:srgbClr val="FFE6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E-BC3B-43F3-A7DC-C54646EC76B1}"/>
              </c:ext>
            </c:extLst>
          </c:dPt>
          <c:dPt>
            <c:idx val="46"/>
            <c:invertIfNegative val="0"/>
            <c:bubble3D val="0"/>
            <c:spPr>
              <a:solidFill>
                <a:srgbClr val="D8F4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0-BC3B-43F3-A7DC-C54646EC76B1}"/>
              </c:ext>
            </c:extLst>
          </c:dPt>
          <c:cat>
            <c:numRef>
              <c:f>Calculations!$D$55:$D$102</c:f>
              <c:numCache>
                <c:formatCode>mmm</c:formatCode>
                <c:ptCount val="48"/>
                <c:pt idx="0">
                  <c:v>46023</c:v>
                </c:pt>
                <c:pt idx="4">
                  <c:v>46054</c:v>
                </c:pt>
                <c:pt idx="8">
                  <c:v>46082</c:v>
                </c:pt>
                <c:pt idx="12">
                  <c:v>46113</c:v>
                </c:pt>
                <c:pt idx="16">
                  <c:v>46143</c:v>
                </c:pt>
                <c:pt idx="20">
                  <c:v>46174</c:v>
                </c:pt>
                <c:pt idx="24">
                  <c:v>46204</c:v>
                </c:pt>
                <c:pt idx="28">
                  <c:v>46235</c:v>
                </c:pt>
                <c:pt idx="32">
                  <c:v>46266</c:v>
                </c:pt>
                <c:pt idx="36">
                  <c:v>46296</c:v>
                </c:pt>
                <c:pt idx="40">
                  <c:v>46327</c:v>
                </c:pt>
                <c:pt idx="44">
                  <c:v>46357</c:v>
                </c:pt>
              </c:numCache>
            </c:numRef>
          </c:cat>
          <c:val>
            <c:numRef>
              <c:f>Calculations!$N$55:$N$102</c:f>
              <c:numCache>
                <c:formatCode>_(* #,##0_);_(* \(#,##0\);_(* "-"??_);_(@_)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1-BC3B-43F3-A7DC-C54646EC76B1}"/>
            </c:ext>
          </c:extLst>
        </c:ser>
        <c:ser>
          <c:idx val="2"/>
          <c:order val="2"/>
          <c:spPr>
            <a:solidFill>
              <a:srgbClr val="2FA087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B3247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3-BC3B-43F3-A7DC-C54646EC76B1}"/>
              </c:ext>
            </c:extLst>
          </c:dPt>
          <c:dPt>
            <c:idx val="2"/>
            <c:invertIfNegative val="0"/>
            <c:bubble3D val="0"/>
            <c:spPr>
              <a:solidFill>
                <a:srgbClr val="00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5-BC3B-43F3-A7DC-C54646EC76B1}"/>
              </c:ext>
            </c:extLst>
          </c:dPt>
          <c:dPt>
            <c:idx val="5"/>
            <c:invertIfNegative val="0"/>
            <c:bubble3D val="0"/>
            <c:spPr>
              <a:solidFill>
                <a:srgbClr val="B3247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7-BC3B-43F3-A7DC-C54646EC76B1}"/>
              </c:ext>
            </c:extLst>
          </c:dPt>
          <c:dPt>
            <c:idx val="6"/>
            <c:invertIfNegative val="0"/>
            <c:bubble3D val="0"/>
            <c:spPr>
              <a:solidFill>
                <a:srgbClr val="00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9-BC3B-43F3-A7DC-C54646EC76B1}"/>
              </c:ext>
            </c:extLst>
          </c:dPt>
          <c:dPt>
            <c:idx val="9"/>
            <c:invertIfNegative val="0"/>
            <c:bubble3D val="0"/>
            <c:spPr>
              <a:solidFill>
                <a:srgbClr val="B3247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B-BC3B-43F3-A7DC-C54646EC76B1}"/>
              </c:ext>
            </c:extLst>
          </c:dPt>
          <c:dPt>
            <c:idx val="10"/>
            <c:invertIfNegative val="0"/>
            <c:bubble3D val="0"/>
            <c:spPr>
              <a:solidFill>
                <a:srgbClr val="00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D-BC3B-43F3-A7DC-C54646EC76B1}"/>
              </c:ext>
            </c:extLst>
          </c:dPt>
          <c:dPt>
            <c:idx val="13"/>
            <c:invertIfNegative val="0"/>
            <c:bubble3D val="0"/>
            <c:spPr>
              <a:solidFill>
                <a:srgbClr val="B3247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F-BC3B-43F3-A7DC-C54646EC76B1}"/>
              </c:ext>
            </c:extLst>
          </c:dPt>
          <c:dPt>
            <c:idx val="14"/>
            <c:invertIfNegative val="0"/>
            <c:bubble3D val="0"/>
            <c:spPr>
              <a:solidFill>
                <a:srgbClr val="00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1-BC3B-43F3-A7DC-C54646EC76B1}"/>
              </c:ext>
            </c:extLst>
          </c:dPt>
          <c:dPt>
            <c:idx val="17"/>
            <c:invertIfNegative val="0"/>
            <c:bubble3D val="0"/>
            <c:spPr>
              <a:solidFill>
                <a:srgbClr val="B3247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3-BC3B-43F3-A7DC-C54646EC76B1}"/>
              </c:ext>
            </c:extLst>
          </c:dPt>
          <c:dPt>
            <c:idx val="18"/>
            <c:invertIfNegative val="0"/>
            <c:bubble3D val="0"/>
            <c:spPr>
              <a:solidFill>
                <a:srgbClr val="00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5-BC3B-43F3-A7DC-C54646EC76B1}"/>
              </c:ext>
            </c:extLst>
          </c:dPt>
          <c:dPt>
            <c:idx val="21"/>
            <c:invertIfNegative val="0"/>
            <c:bubble3D val="0"/>
            <c:spPr>
              <a:solidFill>
                <a:srgbClr val="B3247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7-BC3B-43F3-A7DC-C54646EC76B1}"/>
              </c:ext>
            </c:extLst>
          </c:dPt>
          <c:dPt>
            <c:idx val="22"/>
            <c:invertIfNegative val="0"/>
            <c:bubble3D val="0"/>
            <c:spPr>
              <a:solidFill>
                <a:srgbClr val="00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9-BC3B-43F3-A7DC-C54646EC76B1}"/>
              </c:ext>
            </c:extLst>
          </c:dPt>
          <c:dPt>
            <c:idx val="25"/>
            <c:invertIfNegative val="0"/>
            <c:bubble3D val="0"/>
            <c:spPr>
              <a:solidFill>
                <a:srgbClr val="B3247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B-BC3B-43F3-A7DC-C54646EC76B1}"/>
              </c:ext>
            </c:extLst>
          </c:dPt>
          <c:dPt>
            <c:idx val="26"/>
            <c:invertIfNegative val="0"/>
            <c:bubble3D val="0"/>
            <c:spPr>
              <a:solidFill>
                <a:srgbClr val="00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D-BC3B-43F3-A7DC-C54646EC76B1}"/>
              </c:ext>
            </c:extLst>
          </c:dPt>
          <c:dPt>
            <c:idx val="29"/>
            <c:invertIfNegative val="0"/>
            <c:bubble3D val="0"/>
            <c:spPr>
              <a:solidFill>
                <a:srgbClr val="B3247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F-BC3B-43F3-A7DC-C54646EC76B1}"/>
              </c:ext>
            </c:extLst>
          </c:dPt>
          <c:dPt>
            <c:idx val="30"/>
            <c:invertIfNegative val="0"/>
            <c:bubble3D val="0"/>
            <c:spPr>
              <a:solidFill>
                <a:srgbClr val="00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1-BC3B-43F3-A7DC-C54646EC76B1}"/>
              </c:ext>
            </c:extLst>
          </c:dPt>
          <c:dPt>
            <c:idx val="33"/>
            <c:invertIfNegative val="0"/>
            <c:bubble3D val="0"/>
            <c:spPr>
              <a:solidFill>
                <a:srgbClr val="B3247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3-BC3B-43F3-A7DC-C54646EC76B1}"/>
              </c:ext>
            </c:extLst>
          </c:dPt>
          <c:dPt>
            <c:idx val="34"/>
            <c:invertIfNegative val="0"/>
            <c:bubble3D val="0"/>
            <c:spPr>
              <a:solidFill>
                <a:srgbClr val="00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5-BC3B-43F3-A7DC-C54646EC76B1}"/>
              </c:ext>
            </c:extLst>
          </c:dPt>
          <c:dPt>
            <c:idx val="37"/>
            <c:invertIfNegative val="0"/>
            <c:bubble3D val="0"/>
            <c:spPr>
              <a:solidFill>
                <a:srgbClr val="B3247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7-BC3B-43F3-A7DC-C54646EC76B1}"/>
              </c:ext>
            </c:extLst>
          </c:dPt>
          <c:dPt>
            <c:idx val="38"/>
            <c:invertIfNegative val="0"/>
            <c:bubble3D val="0"/>
            <c:spPr>
              <a:solidFill>
                <a:srgbClr val="00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9-BC3B-43F3-A7DC-C54646EC76B1}"/>
              </c:ext>
            </c:extLst>
          </c:dPt>
          <c:dPt>
            <c:idx val="41"/>
            <c:invertIfNegative val="0"/>
            <c:bubble3D val="0"/>
            <c:spPr>
              <a:solidFill>
                <a:srgbClr val="B3247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B-BC3B-43F3-A7DC-C54646EC76B1}"/>
              </c:ext>
            </c:extLst>
          </c:dPt>
          <c:dPt>
            <c:idx val="42"/>
            <c:invertIfNegative val="0"/>
            <c:bubble3D val="0"/>
            <c:spPr>
              <a:solidFill>
                <a:srgbClr val="00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D-BC3B-43F3-A7DC-C54646EC76B1}"/>
              </c:ext>
            </c:extLst>
          </c:dPt>
          <c:dPt>
            <c:idx val="45"/>
            <c:invertIfNegative val="0"/>
            <c:bubble3D val="0"/>
            <c:spPr>
              <a:solidFill>
                <a:srgbClr val="B3247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F-BC3B-43F3-A7DC-C54646EC76B1}"/>
              </c:ext>
            </c:extLst>
          </c:dPt>
          <c:dPt>
            <c:idx val="46"/>
            <c:invertIfNegative val="0"/>
            <c:bubble3D val="0"/>
            <c:spPr>
              <a:solidFill>
                <a:srgbClr val="00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1-BC3B-43F3-A7DC-C54646EC76B1}"/>
              </c:ext>
            </c:extLst>
          </c:dPt>
          <c:cat>
            <c:numRef>
              <c:f>Calculations!$D$55:$D$102</c:f>
              <c:numCache>
                <c:formatCode>mmm</c:formatCode>
                <c:ptCount val="48"/>
                <c:pt idx="0">
                  <c:v>46023</c:v>
                </c:pt>
                <c:pt idx="4">
                  <c:v>46054</c:v>
                </c:pt>
                <c:pt idx="8">
                  <c:v>46082</c:v>
                </c:pt>
                <c:pt idx="12">
                  <c:v>46113</c:v>
                </c:pt>
                <c:pt idx="16">
                  <c:v>46143</c:v>
                </c:pt>
                <c:pt idx="20">
                  <c:v>46174</c:v>
                </c:pt>
                <c:pt idx="24">
                  <c:v>46204</c:v>
                </c:pt>
                <c:pt idx="28">
                  <c:v>46235</c:v>
                </c:pt>
                <c:pt idx="32">
                  <c:v>46266</c:v>
                </c:pt>
                <c:pt idx="36">
                  <c:v>46296</c:v>
                </c:pt>
                <c:pt idx="40">
                  <c:v>46327</c:v>
                </c:pt>
                <c:pt idx="44">
                  <c:v>46357</c:v>
                </c:pt>
              </c:numCache>
            </c:numRef>
          </c:cat>
          <c:val>
            <c:numRef>
              <c:f>Calculations!$O$55:$O$102</c:f>
              <c:numCache>
                <c:formatCode>_(* #,##0_);_(* \(#,##0\);_(* "-"??_);_(@_)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2-BC3B-43F3-A7DC-C54646EC76B1}"/>
            </c:ext>
          </c:extLst>
        </c:ser>
        <c:ser>
          <c:idx val="3"/>
          <c:order val="3"/>
          <c:spPr>
            <a:solidFill>
              <a:srgbClr val="E0E0E0"/>
            </a:solidFill>
            <a:ln>
              <a:noFill/>
            </a:ln>
            <a:effectLst/>
          </c:spPr>
          <c:invertIfNegative val="0"/>
          <c:cat>
            <c:numRef>
              <c:f>Calculations!$D$55:$D$102</c:f>
              <c:numCache>
                <c:formatCode>mmm</c:formatCode>
                <c:ptCount val="48"/>
                <c:pt idx="0">
                  <c:v>46023</c:v>
                </c:pt>
                <c:pt idx="4">
                  <c:v>46054</c:v>
                </c:pt>
                <c:pt idx="8">
                  <c:v>46082</c:v>
                </c:pt>
                <c:pt idx="12">
                  <c:v>46113</c:v>
                </c:pt>
                <c:pt idx="16">
                  <c:v>46143</c:v>
                </c:pt>
                <c:pt idx="20">
                  <c:v>46174</c:v>
                </c:pt>
                <c:pt idx="24">
                  <c:v>46204</c:v>
                </c:pt>
                <c:pt idx="28">
                  <c:v>46235</c:v>
                </c:pt>
                <c:pt idx="32">
                  <c:v>46266</c:v>
                </c:pt>
                <c:pt idx="36">
                  <c:v>46296</c:v>
                </c:pt>
                <c:pt idx="40">
                  <c:v>46327</c:v>
                </c:pt>
                <c:pt idx="44">
                  <c:v>46357</c:v>
                </c:pt>
              </c:numCache>
            </c:numRef>
          </c:cat>
          <c:val>
            <c:numRef>
              <c:f>Calculations!$P$55:$P$102</c:f>
              <c:numCache>
                <c:formatCode>_(* #,##0_);_(* \(#,##0\);_(* "-"??_);_(@_)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3-BC3B-43F3-A7DC-C54646EC76B1}"/>
            </c:ext>
          </c:extLst>
        </c:ser>
        <c:ser>
          <c:idx val="4"/>
          <c:order val="4"/>
          <c:spPr>
            <a:solidFill>
              <a:srgbClr val="F3F3F3"/>
            </a:solidFill>
            <a:ln>
              <a:noFill/>
            </a:ln>
            <a:effectLst/>
          </c:spPr>
          <c:invertIfNegative val="0"/>
          <c:cat>
            <c:numRef>
              <c:f>Calculations!$D$55:$D$102</c:f>
              <c:numCache>
                <c:formatCode>mmm</c:formatCode>
                <c:ptCount val="48"/>
                <c:pt idx="0">
                  <c:v>46023</c:v>
                </c:pt>
                <c:pt idx="4">
                  <c:v>46054</c:v>
                </c:pt>
                <c:pt idx="8">
                  <c:v>46082</c:v>
                </c:pt>
                <c:pt idx="12">
                  <c:v>46113</c:v>
                </c:pt>
                <c:pt idx="16">
                  <c:v>46143</c:v>
                </c:pt>
                <c:pt idx="20">
                  <c:v>46174</c:v>
                </c:pt>
                <c:pt idx="24">
                  <c:v>46204</c:v>
                </c:pt>
                <c:pt idx="28">
                  <c:v>46235</c:v>
                </c:pt>
                <c:pt idx="32">
                  <c:v>46266</c:v>
                </c:pt>
                <c:pt idx="36">
                  <c:v>46296</c:v>
                </c:pt>
                <c:pt idx="40">
                  <c:v>46327</c:v>
                </c:pt>
                <c:pt idx="44">
                  <c:v>46357</c:v>
                </c:pt>
              </c:numCache>
            </c:numRef>
          </c:cat>
          <c:val>
            <c:numRef>
              <c:f>Calculations!$Q$55:$Q$102</c:f>
              <c:numCache>
                <c:formatCode>_(* #,##0_);_(* \(#,##0\);_(* "-"??_);_(@_)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4-BC3B-43F3-A7DC-C54646EC76B1}"/>
            </c:ext>
          </c:extLst>
        </c:ser>
        <c:ser>
          <c:idx val="5"/>
          <c:order val="5"/>
          <c:spPr>
            <a:solidFill>
              <a:srgbClr val="D3D3D3"/>
            </a:solidFill>
            <a:ln>
              <a:noFill/>
            </a:ln>
            <a:effectLst/>
          </c:spPr>
          <c:invertIfNegative val="0"/>
          <c:cat>
            <c:numRef>
              <c:f>Calculations!$D$55:$D$102</c:f>
              <c:numCache>
                <c:formatCode>mmm</c:formatCode>
                <c:ptCount val="48"/>
                <c:pt idx="0">
                  <c:v>46023</c:v>
                </c:pt>
                <c:pt idx="4">
                  <c:v>46054</c:v>
                </c:pt>
                <c:pt idx="8">
                  <c:v>46082</c:v>
                </c:pt>
                <c:pt idx="12">
                  <c:v>46113</c:v>
                </c:pt>
                <c:pt idx="16">
                  <c:v>46143</c:v>
                </c:pt>
                <c:pt idx="20">
                  <c:v>46174</c:v>
                </c:pt>
                <c:pt idx="24">
                  <c:v>46204</c:v>
                </c:pt>
                <c:pt idx="28">
                  <c:v>46235</c:v>
                </c:pt>
                <c:pt idx="32">
                  <c:v>46266</c:v>
                </c:pt>
                <c:pt idx="36">
                  <c:v>46296</c:v>
                </c:pt>
                <c:pt idx="40">
                  <c:v>46327</c:v>
                </c:pt>
                <c:pt idx="44">
                  <c:v>46357</c:v>
                </c:pt>
              </c:numCache>
            </c:numRef>
          </c:cat>
          <c:val>
            <c:numRef>
              <c:f>Calculations!$R$55:$R$102</c:f>
              <c:numCache>
                <c:formatCode>_(* #,##0_);_(* \(#,##0\);_(* "-"??_);_(@_)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5-BC3B-43F3-A7DC-C54646EC76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92289103"/>
        <c:axId val="892301583"/>
      </c:barChart>
      <c:catAx>
        <c:axId val="892289103"/>
        <c:scaling>
          <c:orientation val="minMax"/>
        </c:scaling>
        <c:delete val="0"/>
        <c:axPos val="b"/>
        <c:numFmt formatCode="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2301583"/>
        <c:crosses val="autoZero"/>
        <c:auto val="0"/>
        <c:lblAlgn val="ctr"/>
        <c:lblOffset val="100"/>
        <c:noMultiLvlLbl val="0"/>
      </c:catAx>
      <c:valAx>
        <c:axId val="892301583"/>
        <c:scaling>
          <c:orientation val="minMax"/>
        </c:scaling>
        <c:delete val="0"/>
        <c:axPos val="l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22891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506026698565389"/>
          <c:y val="0.22997485539263873"/>
          <c:w val="0.70987946602869223"/>
          <c:h val="0.44148963690359166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val>
            <c:numRef>
              <c:f>Calculations!$E$23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7-42C0-93D7-82833B5C1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0287856"/>
        <c:axId val="200285456"/>
      </c:barChart>
      <c:catAx>
        <c:axId val="200287856"/>
        <c:scaling>
          <c:orientation val="minMax"/>
        </c:scaling>
        <c:delete val="1"/>
        <c:axPos val="l"/>
        <c:majorTickMark val="none"/>
        <c:minorTickMark val="none"/>
        <c:tickLblPos val="nextTo"/>
        <c:crossAx val="200285456"/>
        <c:crosses val="autoZero"/>
        <c:auto val="1"/>
        <c:lblAlgn val="ctr"/>
        <c:lblOffset val="100"/>
        <c:noMultiLvlLbl val="0"/>
      </c:catAx>
      <c:valAx>
        <c:axId val="200285456"/>
        <c:scaling>
          <c:orientation val="minMax"/>
          <c:max val="1"/>
        </c:scaling>
        <c:delete val="1"/>
        <c:axPos val="b"/>
        <c:numFmt formatCode="0%" sourceLinked="1"/>
        <c:majorTickMark val="none"/>
        <c:minorTickMark val="none"/>
        <c:tickLblPos val="nextTo"/>
        <c:crossAx val="200287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fmlaLink="Calculations!$E$49" lockText="1" noThreeD="1"/>
</file>

<file path=xl/ctrlProps/ctrlProp2.xml><?xml version="1.0" encoding="utf-8"?>
<formControlPr xmlns="http://schemas.microsoft.com/office/spreadsheetml/2009/9/main" objectType="CheckBox" checked="Checked" fmlaLink="Calculations!$E$50" lockText="1" noThreeD="1"/>
</file>

<file path=xl/ctrlProps/ctrlProp3.xml><?xml version="1.0" encoding="utf-8"?>
<formControlPr xmlns="http://schemas.microsoft.com/office/spreadsheetml/2009/9/main" objectType="CheckBox" checked="Checked" fmlaLink="Calculations!$E$51" lockText="1" noThreeD="1"/>
</file>

<file path=xl/ctrlProps/ctrlProp4.xml><?xml version="1.0" encoding="utf-8"?>
<formControlPr xmlns="http://schemas.microsoft.com/office/spreadsheetml/2009/9/main" objectType="CheckBox" checked="Checked" fmlaLink="Calculations!$E$52" lockText="1" noThreeD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1588</xdr:colOff>
      <xdr:row>4</xdr:row>
      <xdr:rowOff>7938</xdr:rowOff>
    </xdr:from>
    <xdr:to>
      <xdr:col>3</xdr:col>
      <xdr:colOff>452435</xdr:colOff>
      <xdr:row>8</xdr:row>
      <xdr:rowOff>142875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FA8412FD-A456-A25F-D699-B907329C8D38}"/>
            </a:ext>
          </a:extLst>
        </xdr:cNvPr>
        <xdr:cNvGrpSpPr/>
      </xdr:nvGrpSpPr>
      <xdr:grpSpPr>
        <a:xfrm>
          <a:off x="577321" y="736071"/>
          <a:ext cx="1509181" cy="913871"/>
          <a:chOff x="523876" y="650876"/>
          <a:chExt cx="1428749" cy="865187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14068C2D-D2DE-D899-E027-096AC4D6FAD6}"/>
              </a:ext>
            </a:extLst>
          </xdr:cNvPr>
          <xdr:cNvSpPr/>
        </xdr:nvSpPr>
        <xdr:spPr>
          <a:xfrm>
            <a:off x="523876" y="650876"/>
            <a:ext cx="1428749" cy="865187"/>
          </a:xfrm>
          <a:prstGeom prst="roundRect">
            <a:avLst/>
          </a:prstGeom>
          <a:solidFill>
            <a:schemeClr val="bg1"/>
          </a:solidFill>
          <a:ln w="6350">
            <a:solidFill>
              <a:schemeClr val="bg1">
                <a:lumMod val="85000"/>
              </a:schemeClr>
            </a:solidFill>
          </a:ln>
          <a:effectLst>
            <a:outerShdw blurRad="825500" dist="127000" dir="5400000" sx="95000" sy="95000" algn="ctr" rotWithShape="0">
              <a:prstClr val="black">
                <a:alpha val="15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1F4431CB-CF75-CA8D-8600-CB820227DFB1}"/>
              </a:ext>
            </a:extLst>
          </xdr:cNvPr>
          <xdr:cNvSpPr txBox="1"/>
        </xdr:nvSpPr>
        <xdr:spPr>
          <a:xfrm>
            <a:off x="746515" y="705127"/>
            <a:ext cx="1071563" cy="349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Date</a:t>
            </a:r>
            <a:r>
              <a:rPr lang="en-US" sz="1100" b="1" baseline="0">
                <a:solidFill>
                  <a:schemeClr val="accent1">
                    <a:lumMod val="50000"/>
                  </a:schemeClr>
                </a:solidFill>
              </a:rPr>
              <a:t> of Today</a:t>
            </a:r>
            <a:endParaRPr lang="en-US" sz="1100" b="1">
              <a:solidFill>
                <a:schemeClr val="accent1">
                  <a:lumMod val="50000"/>
                </a:schemeClr>
              </a:solidFill>
            </a:endParaRPr>
          </a:p>
        </xdr:txBody>
      </xdr:sp>
      <xdr:sp macro="" textlink="Calculations!E8">
        <xdr:nvSpPr>
          <xdr:cNvPr id="4" name="TextBox 3">
            <a:extLst>
              <a:ext uri="{FF2B5EF4-FFF2-40B4-BE49-F238E27FC236}">
                <a16:creationId xmlns:a16="http://schemas.microsoft.com/office/drawing/2014/main" id="{70BBDD40-391F-4413-A450-01B4767826AC}"/>
              </a:ext>
            </a:extLst>
          </xdr:cNvPr>
          <xdr:cNvSpPr txBox="1"/>
        </xdr:nvSpPr>
        <xdr:spPr>
          <a:xfrm>
            <a:off x="798440" y="1002689"/>
            <a:ext cx="1071563" cy="349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CEFFB55E-8912-4A21-833B-C023C23F1EB8}" type="TxLink">
              <a:rPr lang="en-US" sz="1200" b="1" i="0" u="none" strike="noStrike">
                <a:solidFill>
                  <a:schemeClr val="accent1">
                    <a:lumMod val="50000"/>
                  </a:schemeClr>
                </a:solidFill>
                <a:latin typeface="Aptos Narrow"/>
              </a:rPr>
              <a:pPr/>
              <a:t>07-Apr-26</a:t>
            </a:fld>
            <a:endParaRPr lang="en-US" sz="1200" b="1">
              <a:solidFill>
                <a:schemeClr val="accent1">
                  <a:lumMod val="5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3</xdr:col>
      <xdr:colOff>746125</xdr:colOff>
      <xdr:row>4</xdr:row>
      <xdr:rowOff>7938</xdr:rowOff>
    </xdr:from>
    <xdr:to>
      <xdr:col>4</xdr:col>
      <xdr:colOff>1535856</xdr:colOff>
      <xdr:row>8</xdr:row>
      <xdr:rowOff>142875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4BD03C0-B85A-4062-9532-81DCBEFCEEAE}"/>
            </a:ext>
          </a:extLst>
        </xdr:cNvPr>
        <xdr:cNvGrpSpPr/>
      </xdr:nvGrpSpPr>
      <xdr:grpSpPr>
        <a:xfrm>
          <a:off x="2380192" y="736071"/>
          <a:ext cx="1848064" cy="913871"/>
          <a:chOff x="523876" y="650876"/>
          <a:chExt cx="1478668" cy="865187"/>
        </a:xfrm>
      </xdr:grpSpPr>
      <xdr:sp macro="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58AA59D8-6BD3-4ABD-E8FB-59C977B678BD}"/>
              </a:ext>
            </a:extLst>
          </xdr:cNvPr>
          <xdr:cNvSpPr/>
        </xdr:nvSpPr>
        <xdr:spPr>
          <a:xfrm>
            <a:off x="523876" y="650876"/>
            <a:ext cx="1428749" cy="865187"/>
          </a:xfrm>
          <a:prstGeom prst="roundRect">
            <a:avLst/>
          </a:prstGeom>
          <a:solidFill>
            <a:schemeClr val="bg1"/>
          </a:solidFill>
          <a:ln w="6350">
            <a:solidFill>
              <a:schemeClr val="bg1">
                <a:lumMod val="85000"/>
              </a:schemeClr>
            </a:solidFill>
          </a:ln>
          <a:effectLst>
            <a:outerShdw blurRad="825500" dist="127000" dir="5400000" sx="95000" sy="95000" algn="ctr" rotWithShape="0">
              <a:prstClr val="black">
                <a:alpha val="15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91CFBC5A-3CB1-8579-4B12-6A194C4D569E}"/>
              </a:ext>
            </a:extLst>
          </xdr:cNvPr>
          <xdr:cNvSpPr txBox="1"/>
        </xdr:nvSpPr>
        <xdr:spPr>
          <a:xfrm>
            <a:off x="684919" y="733616"/>
            <a:ext cx="1317625" cy="349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Date</a:t>
            </a:r>
            <a:r>
              <a:rPr lang="en-US" sz="1100" b="1" baseline="0">
                <a:solidFill>
                  <a:schemeClr val="accent1">
                    <a:lumMod val="50000"/>
                  </a:schemeClr>
                </a:solidFill>
              </a:rPr>
              <a:t> of Last Record</a:t>
            </a:r>
          </a:p>
          <a:p>
            <a:endParaRPr lang="en-US" sz="1100" b="1">
              <a:solidFill>
                <a:schemeClr val="accent1">
                  <a:lumMod val="50000"/>
                </a:schemeClr>
              </a:solidFill>
            </a:endParaRPr>
          </a:p>
        </xdr:txBody>
      </xdr:sp>
      <xdr:sp macro="" textlink="Calculations!E9">
        <xdr:nvSpPr>
          <xdr:cNvPr id="13" name="TextBox 12">
            <a:extLst>
              <a:ext uri="{FF2B5EF4-FFF2-40B4-BE49-F238E27FC236}">
                <a16:creationId xmlns:a16="http://schemas.microsoft.com/office/drawing/2014/main" id="{C7CEA9D2-178A-788A-0D55-CF6B58D97BAD}"/>
              </a:ext>
            </a:extLst>
          </xdr:cNvPr>
          <xdr:cNvSpPr txBox="1"/>
        </xdr:nvSpPr>
        <xdr:spPr>
          <a:xfrm>
            <a:off x="632904" y="1045528"/>
            <a:ext cx="688976" cy="349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270AB61E-6585-468F-9759-09E7DB3BE839}" type="TxLink">
              <a:rPr lang="en-US" sz="1100" b="1" i="0" u="none" strike="noStrike">
                <a:solidFill>
                  <a:schemeClr val="accent1">
                    <a:lumMod val="50000"/>
                  </a:schemeClr>
                </a:solidFill>
                <a:latin typeface="Aptos Narrow"/>
              </a:rPr>
              <a:pPr/>
              <a:t>08-Jan-26</a:t>
            </a:fld>
            <a:endParaRPr lang="en-US" sz="1200" b="1">
              <a:solidFill>
                <a:schemeClr val="accent1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513619</xdr:colOff>
      <xdr:row>6</xdr:row>
      <xdr:rowOff>41373</xdr:rowOff>
    </xdr:from>
    <xdr:to>
      <xdr:col>4</xdr:col>
      <xdr:colOff>1506017</xdr:colOff>
      <xdr:row>8</xdr:row>
      <xdr:rowOff>25498</xdr:rowOff>
    </xdr:to>
    <xdr:sp macro="" textlink="Calculations!E10">
      <xdr:nvSpPr>
        <xdr:cNvPr id="14" name="TextBox 13">
          <a:extLst>
            <a:ext uri="{FF2B5EF4-FFF2-40B4-BE49-F238E27FC236}">
              <a16:creationId xmlns:a16="http://schemas.microsoft.com/office/drawing/2014/main" id="{0953FAAE-6CE4-492A-AEA2-2AF61BB26531}"/>
            </a:ext>
          </a:extLst>
        </xdr:cNvPr>
        <xdr:cNvSpPr txBox="1"/>
      </xdr:nvSpPr>
      <xdr:spPr>
        <a:xfrm>
          <a:off x="2980566" y="1154028"/>
          <a:ext cx="992398" cy="3550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C0C0ABC-12F1-4482-B989-29E70F82E688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/>
            <a:t>(89 days ago)</a:t>
          </a:fld>
          <a:endParaRPr lang="en-US" sz="1200" b="1"/>
        </a:p>
      </xdr:txBody>
    </xdr:sp>
    <xdr:clientData/>
  </xdr:twoCellAnchor>
  <xdr:twoCellAnchor editAs="absolute">
    <xdr:from>
      <xdr:col>4</xdr:col>
      <xdr:colOff>1716088</xdr:colOff>
      <xdr:row>4</xdr:row>
      <xdr:rowOff>1588</xdr:rowOff>
    </xdr:from>
    <xdr:to>
      <xdr:col>6</xdr:col>
      <xdr:colOff>508000</xdr:colOff>
      <xdr:row>8</xdr:row>
      <xdr:rowOff>136525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F6961BB-7977-639A-38C5-00D46A68B206}"/>
            </a:ext>
          </a:extLst>
        </xdr:cNvPr>
        <xdr:cNvSpPr/>
      </xdr:nvSpPr>
      <xdr:spPr>
        <a:xfrm>
          <a:off x="4176713" y="731838"/>
          <a:ext cx="1570037" cy="865187"/>
        </a:xfrm>
        <a:prstGeom prst="roundRect">
          <a:avLst/>
        </a:prstGeom>
        <a:solidFill>
          <a:schemeClr val="bg1"/>
        </a:solidFill>
        <a:ln w="6350">
          <a:solidFill>
            <a:schemeClr val="bg1">
              <a:lumMod val="85000"/>
            </a:schemeClr>
          </a:solidFill>
        </a:ln>
        <a:effectLst>
          <a:outerShdw blurRad="825500" dist="127000" dir="5400000" sx="95000" sy="95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1772923</xdr:colOff>
      <xdr:row>4</xdr:row>
      <xdr:rowOff>86327</xdr:rowOff>
    </xdr:from>
    <xdr:to>
      <xdr:col>6</xdr:col>
      <xdr:colOff>456092</xdr:colOff>
      <xdr:row>7</xdr:row>
      <xdr:rowOff>159799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85A500E-D33C-1A7E-33CB-22716F5DB617}"/>
            </a:ext>
          </a:extLst>
        </xdr:cNvPr>
        <xdr:cNvGrpSpPr/>
      </xdr:nvGrpSpPr>
      <xdr:grpSpPr>
        <a:xfrm>
          <a:off x="4465323" y="814460"/>
          <a:ext cx="1714236" cy="657672"/>
          <a:chOff x="4231596" y="816868"/>
          <a:chExt cx="1566511" cy="618989"/>
        </a:xfrm>
      </xdr:grpSpPr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3AAAFCC3-DFF0-472E-4089-93552AE5CF1F}"/>
              </a:ext>
            </a:extLst>
          </xdr:cNvPr>
          <xdr:cNvSpPr txBox="1"/>
        </xdr:nvSpPr>
        <xdr:spPr>
          <a:xfrm>
            <a:off x="4231596" y="816868"/>
            <a:ext cx="1566511" cy="349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 b="1">
                <a:solidFill>
                  <a:schemeClr val="accent1">
                    <a:lumMod val="50000"/>
                  </a:schemeClr>
                </a:solidFill>
                <a:latin typeface="+mn-lt"/>
              </a:rPr>
              <a:t>N⁰ of Tracked Records</a:t>
            </a:r>
          </a:p>
        </xdr:txBody>
      </xdr:sp>
      <xdr:sp macro="" textlink="Calculations!E11">
        <xdr:nvSpPr>
          <xdr:cNvPr id="9" name="TextBox 8">
            <a:extLst>
              <a:ext uri="{FF2B5EF4-FFF2-40B4-BE49-F238E27FC236}">
                <a16:creationId xmlns:a16="http://schemas.microsoft.com/office/drawing/2014/main" id="{CD57B05E-B9B9-45E6-5788-4DF65F913EFD}"/>
              </a:ext>
            </a:extLst>
          </xdr:cNvPr>
          <xdr:cNvSpPr txBox="1"/>
        </xdr:nvSpPr>
        <xdr:spPr>
          <a:xfrm>
            <a:off x="4387534" y="1143793"/>
            <a:ext cx="442043" cy="2841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EA50A162-484B-4925-B727-CCD4187A20CC}" type="TxLink">
              <a:rPr lang="en-US" sz="1100" b="1" i="0" u="none" strike="noStrike">
                <a:solidFill>
                  <a:schemeClr val="accent1">
                    <a:lumMod val="50000"/>
                  </a:schemeClr>
                </a:solidFill>
                <a:latin typeface="Aptos Narrow"/>
              </a:rPr>
              <a:pPr/>
              <a:t>5</a:t>
            </a:fld>
            <a:endParaRPr lang="en-US" sz="1800" b="1">
              <a:solidFill>
                <a:schemeClr val="accent1">
                  <a:lumMod val="50000"/>
                </a:schemeClr>
              </a:solidFill>
            </a:endParaRPr>
          </a:p>
        </xdr:txBody>
      </xdr:sp>
      <xdr:sp macro="" textlink="Calculations!E12">
        <xdr:nvSpPr>
          <xdr:cNvPr id="15" name="TextBox 14">
            <a:extLst>
              <a:ext uri="{FF2B5EF4-FFF2-40B4-BE49-F238E27FC236}">
                <a16:creationId xmlns:a16="http://schemas.microsoft.com/office/drawing/2014/main" id="{E6718FD1-1C40-4134-8EE1-221A7226B825}"/>
              </a:ext>
            </a:extLst>
          </xdr:cNvPr>
          <xdr:cNvSpPr txBox="1"/>
        </xdr:nvSpPr>
        <xdr:spPr>
          <a:xfrm>
            <a:off x="4791408" y="1132645"/>
            <a:ext cx="865188" cy="3032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2EACB642-C3E6-420B-A480-9EBDBE483A9E}" type="TxLink">
              <a:rPr lang="en-US" sz="1050" b="0" i="0" u="none" strike="noStrike">
                <a:solidFill>
                  <a:srgbClr val="000000"/>
                </a:solidFill>
                <a:latin typeface="Aptos Narrow"/>
              </a:rPr>
              <a:pPr/>
              <a:t>(5 this year)</a:t>
            </a:fld>
            <a:endParaRPr lang="en-US" sz="1050" b="1"/>
          </a:p>
        </xdr:txBody>
      </xdr:sp>
    </xdr:grpSp>
    <xdr:clientData/>
  </xdr:twoCellAnchor>
  <xdr:twoCellAnchor>
    <xdr:from>
      <xdr:col>6</xdr:col>
      <xdr:colOff>757238</xdr:colOff>
      <xdr:row>4</xdr:row>
      <xdr:rowOff>1588</xdr:rowOff>
    </xdr:from>
    <xdr:to>
      <xdr:col>9</xdr:col>
      <xdr:colOff>1</xdr:colOff>
      <xdr:row>8</xdr:row>
      <xdr:rowOff>136525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695AF45-B3ED-EAF9-98FE-406127825171}"/>
            </a:ext>
          </a:extLst>
        </xdr:cNvPr>
        <xdr:cNvGrpSpPr/>
      </xdr:nvGrpSpPr>
      <xdr:grpSpPr>
        <a:xfrm>
          <a:off x="6480705" y="729721"/>
          <a:ext cx="2807229" cy="913871"/>
          <a:chOff x="6003251" y="732046"/>
          <a:chExt cx="2509070" cy="865394"/>
        </a:xfrm>
      </xdr:grpSpPr>
      <xdr:sp macro="" textlink="">
        <xdr:nvSpPr>
          <xdr:cNvPr id="26" name="Rectangle: Rounded Corners 25">
            <a:extLst>
              <a:ext uri="{FF2B5EF4-FFF2-40B4-BE49-F238E27FC236}">
                <a16:creationId xmlns:a16="http://schemas.microsoft.com/office/drawing/2014/main" id="{1B1BD8CB-2904-4378-B8BE-9C202E00F22D}"/>
              </a:ext>
            </a:extLst>
          </xdr:cNvPr>
          <xdr:cNvSpPr/>
        </xdr:nvSpPr>
        <xdr:spPr>
          <a:xfrm>
            <a:off x="6003251" y="732046"/>
            <a:ext cx="2509070" cy="865394"/>
          </a:xfrm>
          <a:prstGeom prst="roundRect">
            <a:avLst/>
          </a:prstGeom>
          <a:solidFill>
            <a:schemeClr val="bg1"/>
          </a:solidFill>
          <a:ln w="6350">
            <a:solidFill>
              <a:schemeClr val="bg1">
                <a:lumMod val="85000"/>
              </a:schemeClr>
            </a:solidFill>
          </a:ln>
          <a:effectLst>
            <a:outerShdw blurRad="825500" dist="127000" dir="5400000" sx="95000" sy="95000" algn="ctr" rotWithShape="0">
              <a:prstClr val="black">
                <a:alpha val="15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27" name="Group 26">
            <a:extLst>
              <a:ext uri="{FF2B5EF4-FFF2-40B4-BE49-F238E27FC236}">
                <a16:creationId xmlns:a16="http://schemas.microsoft.com/office/drawing/2014/main" id="{8FE6FF8B-CB34-4AEA-B994-CD6F014E57C9}"/>
              </a:ext>
            </a:extLst>
          </xdr:cNvPr>
          <xdr:cNvGrpSpPr/>
        </xdr:nvGrpSpPr>
        <xdr:grpSpPr>
          <a:xfrm>
            <a:off x="6103729" y="787700"/>
            <a:ext cx="2257174" cy="661438"/>
            <a:chOff x="4278301" y="889109"/>
            <a:chExt cx="2419274" cy="661238"/>
          </a:xfrm>
        </xdr:grpSpPr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8B96346A-C8B5-E10F-EA74-4EBC1AF11E64}"/>
                </a:ext>
              </a:extLst>
            </xdr:cNvPr>
            <xdr:cNvSpPr txBox="1"/>
          </xdr:nvSpPr>
          <xdr:spPr>
            <a:xfrm>
              <a:off x="4278301" y="889109"/>
              <a:ext cx="1769024" cy="3492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1">
                      <a:lumMod val="50000"/>
                    </a:schemeClr>
                  </a:solidFill>
                  <a:latin typeface="+mn-lt"/>
                </a:rPr>
                <a:t>Total</a:t>
              </a:r>
              <a:r>
                <a:rPr lang="en-US" sz="1100" b="1" baseline="0">
                  <a:solidFill>
                    <a:schemeClr val="accent1">
                      <a:lumMod val="50000"/>
                    </a:schemeClr>
                  </a:solidFill>
                  <a:latin typeface="+mn-lt"/>
                </a:rPr>
                <a:t> Tracking Balance:</a:t>
              </a:r>
              <a:endParaRPr lang="en-US" sz="1100" b="1">
                <a:solidFill>
                  <a:schemeClr val="accent1">
                    <a:lumMod val="50000"/>
                  </a:schemeClr>
                </a:solidFill>
                <a:latin typeface="+mn-lt"/>
              </a:endParaRPr>
            </a:p>
          </xdr:txBody>
        </xdr:sp>
        <xdr:sp macro="" textlink="Calculations!E13">
          <xdr:nvSpPr>
            <xdr:cNvPr id="29" name="TextBox 28">
              <a:extLst>
                <a:ext uri="{FF2B5EF4-FFF2-40B4-BE49-F238E27FC236}">
                  <a16:creationId xmlns:a16="http://schemas.microsoft.com/office/drawing/2014/main" id="{F6245218-034B-9351-353F-98BFE4038751}"/>
                </a:ext>
              </a:extLst>
            </xdr:cNvPr>
            <xdr:cNvSpPr txBox="1"/>
          </xdr:nvSpPr>
          <xdr:spPr>
            <a:xfrm>
              <a:off x="4404551" y="1201097"/>
              <a:ext cx="406344" cy="3492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D3717306-89AE-4555-A469-669DBF35EE27}" type="TxLink">
                <a:rPr lang="en-US" sz="900" b="0" i="0" u="none" strike="noStrike">
                  <a:solidFill>
                    <a:srgbClr val="FF0000"/>
                  </a:solidFill>
                  <a:latin typeface="Aptos Narrow"/>
                </a:rPr>
                <a:pPr/>
                <a:t> 18,750.78 </a:t>
              </a:fld>
              <a:endParaRPr lang="en-US" sz="1800" b="1"/>
            </a:p>
          </xdr:txBody>
        </xdr:sp>
        <xdr:sp macro="" textlink="Calculations!E14">
          <xdr:nvSpPr>
            <xdr:cNvPr id="30" name="TextBox 29">
              <a:extLst>
                <a:ext uri="{FF2B5EF4-FFF2-40B4-BE49-F238E27FC236}">
                  <a16:creationId xmlns:a16="http://schemas.microsoft.com/office/drawing/2014/main" id="{5A7CBAE0-49D3-262F-7516-A33E20532AB8}"/>
                </a:ext>
              </a:extLst>
            </xdr:cNvPr>
            <xdr:cNvSpPr txBox="1"/>
          </xdr:nvSpPr>
          <xdr:spPr>
            <a:xfrm>
              <a:off x="4725950" y="1196323"/>
              <a:ext cx="1971625" cy="24606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1031AFE5-4FDE-454D-9F34-8285B07CB9EA}" type="TxLink">
                <a:rPr lang="en-US" sz="1050" b="0" i="0" u="none" strike="noStrike">
                  <a:solidFill>
                    <a:srgbClr val="000000"/>
                  </a:solidFill>
                  <a:latin typeface="Aptos Narrow"/>
                </a:rPr>
                <a:pPr/>
                <a:t>tracked income to be allocated</a:t>
              </a:fld>
              <a:endParaRPr lang="en-US" sz="1050" b="1"/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71901</xdr:colOff>
      <xdr:row>12</xdr:row>
      <xdr:rowOff>63618</xdr:rowOff>
    </xdr:from>
    <xdr:to>
      <xdr:col>32</xdr:col>
      <xdr:colOff>842067</xdr:colOff>
      <xdr:row>13</xdr:row>
      <xdr:rowOff>128840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561853B-7156-410C-0F49-BAE046B048CF}"/>
            </a:ext>
          </a:extLst>
        </xdr:cNvPr>
        <xdr:cNvSpPr txBox="1"/>
      </xdr:nvSpPr>
      <xdr:spPr>
        <a:xfrm>
          <a:off x="6946466" y="2345937"/>
          <a:ext cx="1846904" cy="2492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00B888"/>
              </a:solidFill>
            </a:rPr>
            <a:t>Income</a:t>
          </a:r>
          <a:r>
            <a:rPr lang="en-US" sz="1100" b="1"/>
            <a:t> Categories</a:t>
          </a:r>
          <a:r>
            <a:rPr lang="en-US" sz="1100" b="1" baseline="0"/>
            <a:t> (Tracked) </a:t>
          </a:r>
          <a:endParaRPr lang="en-US" sz="1100" b="1"/>
        </a:p>
      </xdr:txBody>
    </xdr:sp>
    <xdr:clientData/>
  </xdr:twoCellAnchor>
  <xdr:twoCellAnchor editAs="oneCell">
    <xdr:from>
      <xdr:col>30</xdr:col>
      <xdr:colOff>554026</xdr:colOff>
      <xdr:row>13</xdr:row>
      <xdr:rowOff>132732</xdr:rowOff>
    </xdr:from>
    <xdr:to>
      <xdr:col>32</xdr:col>
      <xdr:colOff>848183</xdr:colOff>
      <xdr:row>22</xdr:row>
      <xdr:rowOff>165469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A02DDC7-5D97-489F-B595-6A39C0BC82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31</xdr:col>
      <xdr:colOff>71900</xdr:colOff>
      <xdr:row>25</xdr:row>
      <xdr:rowOff>63618</xdr:rowOff>
    </xdr:from>
    <xdr:ext cx="2017253" cy="234669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85973B16-A71F-4026-95F7-0343072336CE}"/>
            </a:ext>
          </a:extLst>
        </xdr:cNvPr>
        <xdr:cNvSpPr txBox="1"/>
      </xdr:nvSpPr>
      <xdr:spPr>
        <a:xfrm>
          <a:off x="6946465" y="4738690"/>
          <a:ext cx="2017253" cy="2346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3399"/>
              </a:solidFill>
            </a:rPr>
            <a:t>Expenses</a:t>
          </a:r>
          <a:r>
            <a:rPr lang="en-US" sz="1100" b="1"/>
            <a:t> Categories</a:t>
          </a:r>
          <a:r>
            <a:rPr lang="en-US" sz="1100" b="1" baseline="0"/>
            <a:t> (Tracked) </a:t>
          </a:r>
          <a:endParaRPr lang="en-US" sz="1100" b="1"/>
        </a:p>
      </xdr:txBody>
    </xdr:sp>
    <xdr:clientData/>
  </xdr:oneCellAnchor>
  <xdr:oneCellAnchor>
    <xdr:from>
      <xdr:col>30</xdr:col>
      <xdr:colOff>554026</xdr:colOff>
      <xdr:row>26</xdr:row>
      <xdr:rowOff>132732</xdr:rowOff>
    </xdr:from>
    <xdr:ext cx="1981703" cy="1682427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E9F7B74-0941-4302-88DF-A39888CF56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38</xdr:col>
      <xdr:colOff>71900</xdr:colOff>
      <xdr:row>25</xdr:row>
      <xdr:rowOff>63618</xdr:rowOff>
    </xdr:from>
    <xdr:ext cx="2017253" cy="234669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60AE05C8-AD01-420E-A177-73D3FDAC1172}"/>
            </a:ext>
          </a:extLst>
        </xdr:cNvPr>
        <xdr:cNvSpPr txBox="1"/>
      </xdr:nvSpPr>
      <xdr:spPr>
        <a:xfrm>
          <a:off x="11667552" y="4738690"/>
          <a:ext cx="2017253" cy="2346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0099FF"/>
              </a:solidFill>
            </a:rPr>
            <a:t>Savings </a:t>
          </a:r>
          <a:r>
            <a:rPr lang="en-US" sz="1100" b="1"/>
            <a:t>Categories</a:t>
          </a:r>
          <a:r>
            <a:rPr lang="en-US" sz="1100" b="1" baseline="0"/>
            <a:t> (Tracked) </a:t>
          </a:r>
          <a:endParaRPr lang="en-US" sz="1100" b="1"/>
        </a:p>
      </xdr:txBody>
    </xdr:sp>
    <xdr:clientData/>
  </xdr:oneCellAnchor>
  <xdr:oneCellAnchor>
    <xdr:from>
      <xdr:col>37</xdr:col>
      <xdr:colOff>195113</xdr:colOff>
      <xdr:row>26</xdr:row>
      <xdr:rowOff>132732</xdr:rowOff>
    </xdr:from>
    <xdr:ext cx="1981703" cy="1682427"/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8575892-1FE4-4750-80C8-FBB15405A0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twoCellAnchor editAs="oneCell">
    <xdr:from>
      <xdr:col>38</xdr:col>
      <xdr:colOff>49051</xdr:colOff>
      <xdr:row>12</xdr:row>
      <xdr:rowOff>112488</xdr:rowOff>
    </xdr:from>
    <xdr:to>
      <xdr:col>39</xdr:col>
      <xdr:colOff>337983</xdr:colOff>
      <xdr:row>13</xdr:row>
      <xdr:rowOff>164224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97240003-6B33-42AB-B63E-0834541D3D84}"/>
            </a:ext>
          </a:extLst>
        </xdr:cNvPr>
        <xdr:cNvSpPr txBox="1"/>
      </xdr:nvSpPr>
      <xdr:spPr>
        <a:xfrm>
          <a:off x="12052599" y="2406682"/>
          <a:ext cx="1369457" cy="2360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Tracked (vs.</a:t>
          </a:r>
          <a:r>
            <a:rPr lang="en-US" sz="1100" b="1" baseline="0"/>
            <a:t> Budget)</a:t>
          </a:r>
        </a:p>
        <a:p>
          <a:endParaRPr lang="en-US" sz="1100" b="1"/>
        </a:p>
      </xdr:txBody>
    </xdr:sp>
    <xdr:clientData/>
  </xdr:twoCellAnchor>
  <xdr:twoCellAnchor>
    <xdr:from>
      <xdr:col>38</xdr:col>
      <xdr:colOff>124154</xdr:colOff>
      <xdr:row>14</xdr:row>
      <xdr:rowOff>86986</xdr:rowOff>
    </xdr:from>
    <xdr:to>
      <xdr:col>43</xdr:col>
      <xdr:colOff>69589</xdr:colOff>
      <xdr:row>24</xdr:row>
      <xdr:rowOff>50068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FCDCC93-2CD5-44E8-9BC3-65D6D61957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203200</xdr:colOff>
          <xdr:row>12</xdr:row>
          <xdr:rowOff>76200</xdr:rowOff>
        </xdr:from>
        <xdr:to>
          <xdr:col>43</xdr:col>
          <xdr:colOff>355600</xdr:colOff>
          <xdr:row>13</xdr:row>
          <xdr:rowOff>76200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Income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203200</xdr:colOff>
          <xdr:row>13</xdr:row>
          <xdr:rowOff>63500</xdr:rowOff>
        </xdr:from>
        <xdr:to>
          <xdr:col>43</xdr:col>
          <xdr:colOff>355600</xdr:colOff>
          <xdr:row>14</xdr:row>
          <xdr:rowOff>63500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Expenses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203200</xdr:colOff>
          <xdr:row>14</xdr:row>
          <xdr:rowOff>50800</xdr:rowOff>
        </xdr:from>
        <xdr:to>
          <xdr:col>43</xdr:col>
          <xdr:colOff>355600</xdr:colOff>
          <xdr:row>15</xdr:row>
          <xdr:rowOff>50800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Savings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1244600</xdr:colOff>
          <xdr:row>12</xdr:row>
          <xdr:rowOff>114300</xdr:rowOff>
        </xdr:from>
        <xdr:to>
          <xdr:col>42</xdr:col>
          <xdr:colOff>177800</xdr:colOff>
          <xdr:row>13</xdr:row>
          <xdr:rowOff>114300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Budget</a:t>
              </a:r>
            </a:p>
          </xdr:txBody>
        </xdr:sp>
        <xdr:clientData/>
      </xdr:twoCellAnchor>
    </mc:Choice>
    <mc:Fallback/>
  </mc:AlternateContent>
  <xdr:twoCellAnchor>
    <xdr:from>
      <xdr:col>41</xdr:col>
      <xdr:colOff>1217808</xdr:colOff>
      <xdr:row>12</xdr:row>
      <xdr:rowOff>86987</xdr:rowOff>
    </xdr:from>
    <xdr:to>
      <xdr:col>43</xdr:col>
      <xdr:colOff>306122</xdr:colOff>
      <xdr:row>15</xdr:row>
      <xdr:rowOff>41893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BAD163A9-07B0-2ABF-FE0F-827EBD708A7B}"/>
            </a:ext>
          </a:extLst>
        </xdr:cNvPr>
        <xdr:cNvSpPr/>
      </xdr:nvSpPr>
      <xdr:spPr>
        <a:xfrm>
          <a:off x="15500959" y="2357329"/>
          <a:ext cx="1463040" cy="502920"/>
        </a:xfrm>
        <a:prstGeom prst="rect">
          <a:avLst/>
        </a:prstGeom>
        <a:noFill/>
        <a:ln w="6350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92852</xdr:colOff>
      <xdr:row>3</xdr:row>
      <xdr:rowOff>144318</xdr:rowOff>
    </xdr:from>
    <xdr:to>
      <xdr:col>26</xdr:col>
      <xdr:colOff>28518</xdr:colOff>
      <xdr:row>8</xdr:row>
      <xdr:rowOff>54466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281C99B1-1BA2-1CDD-4D13-69151342F32C}"/>
            </a:ext>
          </a:extLst>
        </xdr:cNvPr>
        <xdr:cNvGrpSpPr/>
      </xdr:nvGrpSpPr>
      <xdr:grpSpPr>
        <a:xfrm>
          <a:off x="599076" y="748234"/>
          <a:ext cx="2919722" cy="842666"/>
          <a:chOff x="561222" y="785968"/>
          <a:chExt cx="2655982" cy="833375"/>
        </a:xfrm>
      </xdr:grpSpPr>
      <xdr:sp macro="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5C022E2D-88E0-893F-6D27-FB7D105F7538}"/>
              </a:ext>
            </a:extLst>
          </xdr:cNvPr>
          <xdr:cNvSpPr/>
        </xdr:nvSpPr>
        <xdr:spPr>
          <a:xfrm>
            <a:off x="561222" y="785968"/>
            <a:ext cx="2655982" cy="833375"/>
          </a:xfrm>
          <a:prstGeom prst="roundRect">
            <a:avLst>
              <a:gd name="adj" fmla="val 6807"/>
            </a:avLst>
          </a:prstGeom>
          <a:solidFill>
            <a:schemeClr val="bg1"/>
          </a:solidFill>
          <a:ln w="6350">
            <a:solidFill>
              <a:schemeClr val="bg1">
                <a:lumMod val="85000"/>
              </a:schemeClr>
            </a:solidFill>
          </a:ln>
          <a:effectLst>
            <a:outerShdw blurRad="825500" dist="127000" dir="5400000" sx="95000" sy="95000" algn="ctr" rotWithShape="0">
              <a:prstClr val="black">
                <a:alpha val="15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1B939277-C849-BE36-9D70-AD1BAF921950}"/>
              </a:ext>
            </a:extLst>
          </xdr:cNvPr>
          <xdr:cNvSpPr txBox="1"/>
        </xdr:nvSpPr>
        <xdr:spPr>
          <a:xfrm>
            <a:off x="664410" y="892539"/>
            <a:ext cx="1613709" cy="35570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 b="1"/>
              <a:t>Selected Year &amp; Period</a:t>
            </a:r>
          </a:p>
        </xdr:txBody>
      </xdr:sp>
      <xdr:sp macro="" textlink="selected_year">
        <xdr:nvSpPr>
          <xdr:cNvPr id="17" name="Rectangle: Rounded Corners 16">
            <a:extLst>
              <a:ext uri="{FF2B5EF4-FFF2-40B4-BE49-F238E27FC236}">
                <a16:creationId xmlns:a16="http://schemas.microsoft.com/office/drawing/2014/main" id="{2F43AEA2-CBF5-BCFD-8BBA-6FBD44DDB246}"/>
              </a:ext>
            </a:extLst>
          </xdr:cNvPr>
          <xdr:cNvSpPr/>
        </xdr:nvSpPr>
        <xdr:spPr>
          <a:xfrm>
            <a:off x="769993" y="1174412"/>
            <a:ext cx="731520" cy="232766"/>
          </a:xfrm>
          <a:prstGeom prst="roundRect">
            <a:avLst>
              <a:gd name="adj" fmla="val 50000"/>
            </a:avLst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9BBA011-0144-4827-8E57-720E0B2A859E}" type="TxLink">
              <a:rPr lang="en-US" sz="1000" b="1" i="0" u="none" strike="noStrike">
                <a:solidFill>
                  <a:srgbClr val="000000"/>
                </a:solidFill>
                <a:latin typeface="Aptos Narrow"/>
              </a:rPr>
              <a:pPr algn="ctr"/>
              <a:t>2026</a:t>
            </a:fld>
            <a:endParaRPr lang="en-US" sz="1200" b="1"/>
          </a:p>
        </xdr:txBody>
      </xdr:sp>
      <xdr:sp macro="" textlink="selected_period_display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4C1C8553-0C91-4F39-AC5F-93CB8E531665}"/>
              </a:ext>
            </a:extLst>
          </xdr:cNvPr>
          <xdr:cNvSpPr/>
        </xdr:nvSpPr>
        <xdr:spPr>
          <a:xfrm>
            <a:off x="1557393" y="1174412"/>
            <a:ext cx="916539" cy="232766"/>
          </a:xfrm>
          <a:prstGeom prst="roundRect">
            <a:avLst>
              <a:gd name="adj" fmla="val 50000"/>
            </a:avLst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84E3027-AB57-46A1-A93D-071C1A0A3714}" type="TxLink">
              <a:rPr lang="en-US" sz="1000" b="1" i="0" u="none" strike="noStrike">
                <a:solidFill>
                  <a:srgbClr val="000000"/>
                </a:solidFill>
                <a:latin typeface="Aptos Narrow"/>
              </a:rPr>
              <a:pPr algn="ctr"/>
              <a:t>January</a:t>
            </a:fld>
            <a:endParaRPr lang="en-US" sz="1200" b="1"/>
          </a:p>
        </xdr:txBody>
      </xdr:sp>
    </xdr:grpSp>
    <xdr:clientData/>
  </xdr:twoCellAnchor>
  <xdr:twoCellAnchor>
    <xdr:from>
      <xdr:col>26</xdr:col>
      <xdr:colOff>549465</xdr:colOff>
      <xdr:row>3</xdr:row>
      <xdr:rowOff>144318</xdr:rowOff>
    </xdr:from>
    <xdr:to>
      <xdr:col>28</xdr:col>
      <xdr:colOff>316650</xdr:colOff>
      <xdr:row>8</xdr:row>
      <xdr:rowOff>55310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7A67E23C-AA29-BCCD-3A26-AEC9A65AECE1}"/>
            </a:ext>
          </a:extLst>
        </xdr:cNvPr>
        <xdr:cNvGrpSpPr/>
      </xdr:nvGrpSpPr>
      <xdr:grpSpPr>
        <a:xfrm>
          <a:off x="4039745" y="748234"/>
          <a:ext cx="1303618" cy="843510"/>
          <a:chOff x="3480728" y="772904"/>
          <a:chExt cx="1184710" cy="814942"/>
        </a:xfrm>
      </xdr:grpSpPr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4571B0EE-897B-1B7E-8D1A-720CAB821C98}"/>
              </a:ext>
            </a:extLst>
          </xdr:cNvPr>
          <xdr:cNvGrpSpPr/>
        </xdr:nvGrpSpPr>
        <xdr:grpSpPr>
          <a:xfrm>
            <a:off x="3480728" y="772904"/>
            <a:ext cx="1184710" cy="814942"/>
            <a:chOff x="3472323" y="779318"/>
            <a:chExt cx="1183162" cy="797248"/>
          </a:xfrm>
        </xdr:grpSpPr>
        <xdr:sp macro="" textlink="">
          <xdr:nvSpPr>
            <xdr:cNvPr id="21" name="Rectangle: Rounded Corners 20">
              <a:extLst>
                <a:ext uri="{FF2B5EF4-FFF2-40B4-BE49-F238E27FC236}">
                  <a16:creationId xmlns:a16="http://schemas.microsoft.com/office/drawing/2014/main" id="{2F0D0232-9063-ED71-EC2F-C6DE3D0D732E}"/>
                </a:ext>
              </a:extLst>
            </xdr:cNvPr>
            <xdr:cNvSpPr/>
          </xdr:nvSpPr>
          <xdr:spPr>
            <a:xfrm>
              <a:off x="3472323" y="779318"/>
              <a:ext cx="1183162" cy="797248"/>
            </a:xfrm>
            <a:prstGeom prst="roundRect">
              <a:avLst>
                <a:gd name="adj" fmla="val 5175"/>
              </a:avLst>
            </a:prstGeom>
            <a:solidFill>
              <a:schemeClr val="bg1"/>
            </a:solidFill>
            <a:ln w="6350">
              <a:solidFill>
                <a:schemeClr val="bg1">
                  <a:lumMod val="85000"/>
                </a:schemeClr>
              </a:solidFill>
            </a:ln>
            <a:effectLst>
              <a:outerShdw blurRad="825500" dist="127000" dir="5400000" sx="95000" sy="95000" algn="ctr" rotWithShape="0">
                <a:prstClr val="black">
                  <a:alpha val="15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427AA9F7-9182-F029-A29F-95D55D25A14C}"/>
                </a:ext>
              </a:extLst>
            </xdr:cNvPr>
            <xdr:cNvSpPr txBox="1"/>
          </xdr:nvSpPr>
          <xdr:spPr>
            <a:xfrm>
              <a:off x="3523943" y="900452"/>
              <a:ext cx="1082295" cy="33896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1">
                      <a:lumMod val="50000"/>
                    </a:schemeClr>
                  </a:solidFill>
                </a:rPr>
                <a:t>Period Compl.</a:t>
              </a:r>
            </a:p>
          </xdr:txBody>
        </xdr:sp>
        <xdr:graphicFrame macro="">
          <xdr:nvGraphicFramePr>
            <xdr:cNvPr id="24" name="Chart 23">
              <a:extLst>
                <a:ext uri="{FF2B5EF4-FFF2-40B4-BE49-F238E27FC236}">
                  <a16:creationId xmlns:a16="http://schemas.microsoft.com/office/drawing/2014/main" id="{F0EE252A-5BA3-4FEF-9A3E-4F33B307C0C4}"/>
                </a:ext>
              </a:extLst>
            </xdr:cNvPr>
            <xdr:cNvGraphicFramePr>
              <a:graphicFrameLocks/>
            </xdr:cNvGraphicFramePr>
          </xdr:nvGraphicFramePr>
          <xdr:xfrm>
            <a:off x="3548981" y="1083365"/>
            <a:ext cx="959667" cy="379798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sp macro="" textlink="Calculations!E23">
        <xdr:nvSpPr>
          <xdr:cNvPr id="23" name="TextBox 22">
            <a:extLst>
              <a:ext uri="{FF2B5EF4-FFF2-40B4-BE49-F238E27FC236}">
                <a16:creationId xmlns:a16="http://schemas.microsoft.com/office/drawing/2014/main" id="{7AA1CFC8-F73F-60DD-F307-470A12B697CB}"/>
              </a:ext>
            </a:extLst>
          </xdr:cNvPr>
          <xdr:cNvSpPr txBox="1"/>
        </xdr:nvSpPr>
        <xdr:spPr>
          <a:xfrm>
            <a:off x="3777171" y="1129193"/>
            <a:ext cx="563257" cy="3460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8487552B-2521-4EAC-B766-B3D9CA5495B6}" type="TxLink">
              <a:rPr lang="en-US" sz="1100" b="1" i="0" u="none" strike="noStrike">
                <a:solidFill>
                  <a:schemeClr val="accent1">
                    <a:lumMod val="50000"/>
                  </a:schemeClr>
                </a:solidFill>
                <a:latin typeface="Aptos Narrow"/>
              </a:rPr>
              <a:pPr algn="ctr"/>
              <a:t>100%</a:t>
            </a:fld>
            <a:endParaRPr lang="en-US" sz="1200" b="1">
              <a:solidFill>
                <a:schemeClr val="accent1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29</xdr:col>
      <xdr:colOff>1</xdr:colOff>
      <xdr:row>3</xdr:row>
      <xdr:rowOff>144318</xdr:rowOff>
    </xdr:from>
    <xdr:to>
      <xdr:col>32</xdr:col>
      <xdr:colOff>1</xdr:colOff>
      <xdr:row>8</xdr:row>
      <xdr:rowOff>55310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98EBE298-550B-4D3F-A264-DBC1AE2D960F}"/>
            </a:ext>
          </a:extLst>
        </xdr:cNvPr>
        <xdr:cNvGrpSpPr/>
      </xdr:nvGrpSpPr>
      <xdr:grpSpPr>
        <a:xfrm>
          <a:off x="5914826" y="748234"/>
          <a:ext cx="2744266" cy="843510"/>
          <a:chOff x="6003250" y="732046"/>
          <a:chExt cx="2509778" cy="865394"/>
        </a:xfrm>
      </xdr:grpSpPr>
      <xdr:sp macro="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557DEFF5-65E2-CDCA-8B56-496B0432B73A}"/>
              </a:ext>
            </a:extLst>
          </xdr:cNvPr>
          <xdr:cNvSpPr/>
        </xdr:nvSpPr>
        <xdr:spPr>
          <a:xfrm>
            <a:off x="6003250" y="732046"/>
            <a:ext cx="2509778" cy="865394"/>
          </a:xfrm>
          <a:prstGeom prst="roundRect">
            <a:avLst>
              <a:gd name="adj" fmla="val 5996"/>
            </a:avLst>
          </a:prstGeom>
          <a:solidFill>
            <a:schemeClr val="bg1"/>
          </a:solidFill>
          <a:ln w="6350">
            <a:solidFill>
              <a:schemeClr val="bg1">
                <a:lumMod val="85000"/>
              </a:schemeClr>
            </a:solidFill>
          </a:ln>
          <a:effectLst>
            <a:outerShdw blurRad="825500" dist="127000" dir="5400000" sx="95000" sy="95000" algn="ctr" rotWithShape="0">
              <a:prstClr val="black">
                <a:alpha val="15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16" name="Group 15">
            <a:extLst>
              <a:ext uri="{FF2B5EF4-FFF2-40B4-BE49-F238E27FC236}">
                <a16:creationId xmlns:a16="http://schemas.microsoft.com/office/drawing/2014/main" id="{424FE11A-88E0-4C7E-A1EB-85E506993C58}"/>
              </a:ext>
            </a:extLst>
          </xdr:cNvPr>
          <xdr:cNvGrpSpPr/>
        </xdr:nvGrpSpPr>
        <xdr:grpSpPr>
          <a:xfrm>
            <a:off x="6064370" y="843171"/>
            <a:ext cx="2293064" cy="683626"/>
            <a:chOff x="4236116" y="944562"/>
            <a:chExt cx="2457742" cy="683419"/>
          </a:xfrm>
        </xdr:grpSpPr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47629373-9580-24DC-FFBA-6E76F0E100B5}"/>
                </a:ext>
              </a:extLst>
            </xdr:cNvPr>
            <xdr:cNvSpPr txBox="1"/>
          </xdr:nvSpPr>
          <xdr:spPr>
            <a:xfrm>
              <a:off x="4236116" y="944562"/>
              <a:ext cx="1769024" cy="3492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 baseline="0">
                  <a:solidFill>
                    <a:schemeClr val="accent1">
                      <a:lumMod val="50000"/>
                    </a:schemeClr>
                  </a:solidFill>
                  <a:latin typeface="+mn-lt"/>
                </a:rPr>
                <a:t>Period Tracking Balance:</a:t>
              </a:r>
              <a:endParaRPr lang="en-US" sz="1100" b="1">
                <a:solidFill>
                  <a:schemeClr val="accent1">
                    <a:lumMod val="50000"/>
                  </a:schemeClr>
                </a:solidFill>
                <a:latin typeface="+mn-lt"/>
              </a:endParaRPr>
            </a:p>
          </xdr:txBody>
        </xdr:sp>
        <xdr:sp macro="" textlink="Calculations!E24">
          <xdr:nvSpPr>
            <xdr:cNvPr id="27" name="TextBox 26">
              <a:extLst>
                <a:ext uri="{FF2B5EF4-FFF2-40B4-BE49-F238E27FC236}">
                  <a16:creationId xmlns:a16="http://schemas.microsoft.com/office/drawing/2014/main" id="{52351791-3800-8679-1E01-9DB24C937D5D}"/>
                </a:ext>
              </a:extLst>
            </xdr:cNvPr>
            <xdr:cNvSpPr txBox="1"/>
          </xdr:nvSpPr>
          <xdr:spPr>
            <a:xfrm>
              <a:off x="4404551" y="1278731"/>
              <a:ext cx="819116" cy="3492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5D3D9980-B003-4794-A662-7F06D01E74FE}" type="TxLink">
                <a:rPr lang="en-US" sz="1100" b="1" i="0" u="none" strike="noStrike">
                  <a:solidFill>
                    <a:srgbClr val="000000"/>
                  </a:solidFill>
                  <a:latin typeface="Aptos Narrow"/>
                </a:rPr>
                <a:pPr/>
                <a:t> -   </a:t>
              </a:fld>
              <a:endParaRPr lang="en-US" sz="1800" b="1"/>
            </a:p>
          </xdr:txBody>
        </xdr:sp>
        <xdr:sp macro="" textlink="Calculations!E25">
          <xdr:nvSpPr>
            <xdr:cNvPr id="28" name="TextBox 27">
              <a:extLst>
                <a:ext uri="{FF2B5EF4-FFF2-40B4-BE49-F238E27FC236}">
                  <a16:creationId xmlns:a16="http://schemas.microsoft.com/office/drawing/2014/main" id="{BB8C364D-3BFF-3C39-2B82-32577931137A}"/>
                </a:ext>
              </a:extLst>
            </xdr:cNvPr>
            <xdr:cNvSpPr txBox="1"/>
          </xdr:nvSpPr>
          <xdr:spPr>
            <a:xfrm>
              <a:off x="4816347" y="1285383"/>
              <a:ext cx="1877511" cy="20533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D38DF624-0451-4029-BC32-E6A82B8FAFC4}" type="TxLink">
                <a:rPr lang="en-US" sz="900" b="0" i="0" u="none" strike="noStrike">
                  <a:solidFill>
                    <a:srgbClr val="000000"/>
                  </a:solidFill>
                  <a:latin typeface="Aptos Narrow"/>
                </a:rPr>
                <a:pPr/>
                <a:t>tracked income to be allocated</a:t>
              </a:fld>
              <a:endParaRPr lang="en-US" sz="1050" b="1"/>
            </a:p>
          </xdr:txBody>
        </xdr:sp>
      </xdr:grpSp>
    </xdr:grpSp>
    <xdr:clientData/>
  </xdr:twoCellAnchor>
  <xdr:twoCellAnchor>
    <xdr:from>
      <xdr:col>32</xdr:col>
      <xdr:colOff>294258</xdr:colOff>
      <xdr:row>3</xdr:row>
      <xdr:rowOff>144318</xdr:rowOff>
    </xdr:from>
    <xdr:to>
      <xdr:col>34</xdr:col>
      <xdr:colOff>1017626</xdr:colOff>
      <xdr:row>8</xdr:row>
      <xdr:rowOff>55310</xdr:rowOff>
    </xdr:to>
    <xdr:grpSp>
      <xdr:nvGrpSpPr>
        <xdr:cNvPr id="41" name="Group 40">
          <a:extLst>
            <a:ext uri="{FF2B5EF4-FFF2-40B4-BE49-F238E27FC236}">
              <a16:creationId xmlns:a16="http://schemas.microsoft.com/office/drawing/2014/main" id="{C74CFD9E-9F13-432A-BBC5-21677C439C6C}"/>
            </a:ext>
          </a:extLst>
        </xdr:cNvPr>
        <xdr:cNvGrpSpPr/>
      </xdr:nvGrpSpPr>
      <xdr:grpSpPr>
        <a:xfrm>
          <a:off x="8953349" y="748234"/>
          <a:ext cx="1869032" cy="843510"/>
          <a:chOff x="6003251" y="732046"/>
          <a:chExt cx="1766523" cy="865394"/>
        </a:xfrm>
      </xdr:grpSpPr>
      <xdr:sp macro="" textlink="">
        <xdr:nvSpPr>
          <xdr:cNvPr id="42" name="Rectangle: Rounded Corners 41">
            <a:extLst>
              <a:ext uri="{FF2B5EF4-FFF2-40B4-BE49-F238E27FC236}">
                <a16:creationId xmlns:a16="http://schemas.microsoft.com/office/drawing/2014/main" id="{6C585859-5F45-B84D-5404-0694A696956B}"/>
              </a:ext>
            </a:extLst>
          </xdr:cNvPr>
          <xdr:cNvSpPr/>
        </xdr:nvSpPr>
        <xdr:spPr>
          <a:xfrm>
            <a:off x="6003251" y="732046"/>
            <a:ext cx="1766523" cy="865394"/>
          </a:xfrm>
          <a:prstGeom prst="roundRect">
            <a:avLst>
              <a:gd name="adj" fmla="val 5996"/>
            </a:avLst>
          </a:prstGeom>
          <a:solidFill>
            <a:schemeClr val="bg1"/>
          </a:solidFill>
          <a:ln w="6350">
            <a:solidFill>
              <a:schemeClr val="bg1">
                <a:lumMod val="85000"/>
              </a:schemeClr>
            </a:solidFill>
          </a:ln>
          <a:effectLst>
            <a:outerShdw blurRad="825500" dist="127000" dir="5400000" sx="95000" sy="95000" algn="ctr" rotWithShape="0">
              <a:prstClr val="black">
                <a:alpha val="15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D2EBE62A-160B-119E-5EA5-7DAE61851692}"/>
              </a:ext>
            </a:extLst>
          </xdr:cNvPr>
          <xdr:cNvGrpSpPr/>
        </xdr:nvGrpSpPr>
        <xdr:grpSpPr>
          <a:xfrm>
            <a:off x="6064371" y="843171"/>
            <a:ext cx="1650493" cy="658065"/>
            <a:chOff x="4236116" y="944562"/>
            <a:chExt cx="1769024" cy="657866"/>
          </a:xfrm>
        </xdr:grpSpPr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EFFA3878-1AFF-E88C-860B-A4C3976595AD}"/>
                </a:ext>
              </a:extLst>
            </xdr:cNvPr>
            <xdr:cNvSpPr txBox="1"/>
          </xdr:nvSpPr>
          <xdr:spPr>
            <a:xfrm>
              <a:off x="4236116" y="944562"/>
              <a:ext cx="1769024" cy="3492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 baseline="0">
                  <a:latin typeface="+mn-lt"/>
                </a:rPr>
                <a:t>Period  Savings Rate:</a:t>
              </a:r>
            </a:p>
          </xdr:txBody>
        </xdr:sp>
        <xdr:sp macro="" textlink="Calculations!E26">
          <xdr:nvSpPr>
            <xdr:cNvPr id="45" name="TextBox 44">
              <a:extLst>
                <a:ext uri="{FF2B5EF4-FFF2-40B4-BE49-F238E27FC236}">
                  <a16:creationId xmlns:a16="http://schemas.microsoft.com/office/drawing/2014/main" id="{28924124-2CB0-7008-1064-62FFFCF4EE80}"/>
                </a:ext>
              </a:extLst>
            </xdr:cNvPr>
            <xdr:cNvSpPr txBox="1"/>
          </xdr:nvSpPr>
          <xdr:spPr>
            <a:xfrm>
              <a:off x="4941515" y="1253178"/>
              <a:ext cx="271192" cy="3492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822700C6-B8C1-4B72-8034-3FC2E88FE5CC}" type="TxLink">
                <a:rPr lang="en-US" sz="1200" b="1" i="0" u="none" strike="noStrike">
                  <a:solidFill>
                    <a:srgbClr val="0099FF"/>
                  </a:solidFill>
                  <a:latin typeface="Aptos Narrow"/>
                </a:rPr>
                <a:pPr/>
                <a:t>-</a:t>
              </a:fld>
              <a:endParaRPr lang="en-US" sz="2000" b="1" i="0" u="none" strike="noStrike">
                <a:solidFill>
                  <a:srgbClr val="0099FF"/>
                </a:solidFill>
                <a:latin typeface="Aptos Narrow"/>
              </a:endParaRPr>
            </a:p>
          </xdr:txBody>
        </xdr:sp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3BA03906-FEF6-FE5A-F1BC-76083A06B89F}"/>
                </a:ext>
              </a:extLst>
            </xdr:cNvPr>
            <xdr:cNvSpPr txBox="1"/>
          </xdr:nvSpPr>
          <xdr:spPr>
            <a:xfrm>
              <a:off x="4357963" y="1255634"/>
              <a:ext cx="584080" cy="22231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050" b="0" i="0" u="none" strike="noStrike">
                  <a:solidFill>
                    <a:srgbClr val="000000"/>
                  </a:solidFill>
                  <a:latin typeface="Aptos Narrow"/>
                </a:rPr>
                <a:t>Saving</a:t>
              </a:r>
            </a:p>
          </xdr:txBody>
        </xdr:sp>
      </xdr:grpSp>
    </xdr:grpSp>
    <xdr:clientData/>
  </xdr:twoCellAnchor>
  <xdr:twoCellAnchor>
    <xdr:from>
      <xdr:col>34</xdr:col>
      <xdr:colOff>253554</xdr:colOff>
      <xdr:row>6</xdr:row>
      <xdr:rowOff>5921</xdr:rowOff>
    </xdr:from>
    <xdr:to>
      <xdr:col>34</xdr:col>
      <xdr:colOff>1078686</xdr:colOff>
      <xdr:row>7</xdr:row>
      <xdr:rowOff>35224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F90E9242-3A57-48A6-A349-11EF50D84186}"/>
            </a:ext>
          </a:extLst>
        </xdr:cNvPr>
        <xdr:cNvSpPr txBox="1"/>
      </xdr:nvSpPr>
      <xdr:spPr>
        <a:xfrm>
          <a:off x="9253458" y="1182299"/>
          <a:ext cx="825132" cy="2124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 i="0" u="none" strike="noStrike">
              <a:solidFill>
                <a:srgbClr val="000000"/>
              </a:solidFill>
              <a:latin typeface="Aptos Narrow"/>
            </a:rPr>
            <a:t>of</a:t>
          </a:r>
          <a:r>
            <a:rPr lang="en-US" sz="1050" b="0" i="0" u="none" strike="noStrike" baseline="0">
              <a:solidFill>
                <a:srgbClr val="000000"/>
              </a:solidFill>
              <a:latin typeface="Aptos Narrow"/>
            </a:rPr>
            <a:t> income</a:t>
          </a:r>
        </a:p>
        <a:p>
          <a:endParaRPr lang="en-US" sz="1050" b="0" i="0" u="none" strike="noStrike">
            <a:solidFill>
              <a:srgbClr val="000000"/>
            </a:solidFill>
            <a:latin typeface="Aptos Narrow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0B26A67-738A-4421-965B-EE793FE36618}" name="Income" displayName="Income" ref="C9:C10" totalsRowShown="0" headerRowDxfId="59" dataDxfId="58">
  <autoFilter ref="C9:C10" xr:uid="{20B26A67-738A-4421-965B-EE793FE36618}">
    <filterColumn colId="0" hiddenButton="1"/>
  </autoFilter>
  <tableColumns count="1">
    <tableColumn id="1" xr3:uid="{1FE47243-4C45-49EC-82A7-297EED40CADD}" name="Income" dataDxfId="57"/>
  </tableColumns>
  <tableStyleInfo name="Income Table Style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C7CAFAA-7377-49E9-BBC4-98D31E7A3439}" name="Expenses" displayName="Expenses" ref="C21:C39" totalsRowShown="0" headerRowDxfId="56" dataDxfId="55">
  <autoFilter ref="C21:C39" xr:uid="{7C7CAFAA-7377-49E9-BBC4-98D31E7A3439}">
    <filterColumn colId="0" hiddenButton="1"/>
  </autoFilter>
  <tableColumns count="1">
    <tableColumn id="1" xr3:uid="{ED8A62F4-7D3D-4E89-858A-37FDBDD1E5E9}" name="Expenses" dataDxfId="54"/>
  </tableColumns>
  <tableStyleInfo name="Expenses Table Style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F820AF-E8A4-4F29-9662-00D4EF2DB01E}" name="Savings" displayName="Savings" ref="C42:C43" totalsRowShown="0" headerRowDxfId="53" dataDxfId="52">
  <autoFilter ref="C42:C43" xr:uid="{27F820AF-E8A4-4F29-9662-00D4EF2DB01E}">
    <filterColumn colId="0" hiddenButton="1"/>
  </autoFilter>
  <tableColumns count="1">
    <tableColumn id="1" xr3:uid="{1C3012C8-9F38-4F7E-AE13-2D0F05D06459}" name="Savings" dataDxfId="51"/>
  </tableColumns>
  <tableStyleInfo name="Savings Table Style" showFirstColumn="0" showLastColumn="0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949C755-F615-4131-8C8B-C69A641847A9}" name="Tracking" displayName="Tracking" ref="C11:I28" totalsRowShown="0" headerRowDxfId="50" dataDxfId="49">
  <autoFilter ref="C11:I28" xr:uid="{5949C755-F615-4131-8C8B-C69A641847A9}"/>
  <sortState xmlns:xlrd2="http://schemas.microsoft.com/office/spreadsheetml/2017/richdata2" ref="C12:I12">
    <sortCondition ref="C11:C12"/>
  </sortState>
  <tableColumns count="7">
    <tableColumn id="1" xr3:uid="{1D348812-994A-436A-98CD-29F0DF9CE6F3}" name="Date" dataDxfId="48"/>
    <tableColumn id="2" xr3:uid="{6F96EB11-1DFE-4CFD-92FC-783810924DA5}" name="Type" dataDxfId="47"/>
    <tableColumn id="3" xr3:uid="{D7397AA3-3CF6-4B2C-8DD7-04F0299C5A92}" name="Category" dataDxfId="46"/>
    <tableColumn id="4" xr3:uid="{A569498D-7E66-4FCD-99BB-5BC65CBC066F}" name="Amount" dataDxfId="45" dataCellStyle="Comma"/>
    <tableColumn id="5" xr3:uid="{31A4616C-0716-4AFC-939B-098910BD06DE}" name="Details" dataDxfId="44"/>
    <tableColumn id="6" xr3:uid="{AC1B5F1F-882E-4043-821F-DB5EE5CE3C5D}" name="Balance" dataDxfId="43" dataCellStyle="Comma">
      <calculatedColumnFormula array="1">SUMPRODUCT(Tracking[Amount],--(Tracking[Date]&lt;=Tracking[[#This Row],[Date]]),(Tracking[Type]&lt;&gt;"Income")*(1)+(Tracking[Type]="Income"))</calculatedColumnFormula>
    </tableColumn>
    <tableColumn id="7" xr3:uid="{69358088-81FA-490C-B239-E4EEB31B5F55}" name="Effective Date" dataDxfId="42" dataCellStyle="Comma"/>
  </tableColumns>
  <tableStyleInfo name="Tracking Table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4DDE9-6D0A-49C9-BCC5-A5E91490E56E}">
  <dimension ref="A1:I25"/>
  <sheetViews>
    <sheetView showGridLines="0" tabSelected="1" zoomScale="184" zoomScaleNormal="136" workbookViewId="0">
      <selection sqref="A1:XFD3"/>
    </sheetView>
  </sheetViews>
  <sheetFormatPr baseColWidth="10" defaultColWidth="8.83203125" defaultRowHeight="15" x14ac:dyDescent="0.2"/>
  <cols>
    <col min="2" max="2" width="1.5" customWidth="1"/>
    <col min="3" max="3" width="27.33203125" customWidth="1"/>
    <col min="4" max="4" width="24" customWidth="1"/>
    <col min="5" max="5" width="2.1640625" customWidth="1"/>
    <col min="6" max="6" width="58.5" customWidth="1"/>
    <col min="7" max="7" width="1.5" customWidth="1"/>
  </cols>
  <sheetData>
    <row r="1" spans="1:9" s="131" customFormat="1" x14ac:dyDescent="0.2">
      <c r="A1" s="131" t="s">
        <v>0</v>
      </c>
    </row>
    <row r="2" spans="1:9" s="131" customFormat="1" x14ac:dyDescent="0.2"/>
    <row r="3" spans="1:9" s="131" customFormat="1" x14ac:dyDescent="0.2"/>
    <row r="7" spans="1:9" x14ac:dyDescent="0.2">
      <c r="B7" s="132" t="s">
        <v>1</v>
      </c>
      <c r="C7" s="132"/>
      <c r="D7" s="132"/>
      <c r="E7" s="132"/>
      <c r="F7" s="132"/>
      <c r="G7" s="132"/>
    </row>
    <row r="8" spans="1:9" x14ac:dyDescent="0.2">
      <c r="B8" s="2"/>
      <c r="G8" s="3"/>
    </row>
    <row r="9" spans="1:9" x14ac:dyDescent="0.2">
      <c r="B9" s="2"/>
      <c r="C9" s="6" t="s">
        <v>2</v>
      </c>
      <c r="D9" s="133">
        <v>2026</v>
      </c>
      <c r="F9" s="112"/>
      <c r="G9" s="3"/>
      <c r="I9" s="43"/>
    </row>
    <row r="10" spans="1:9" x14ac:dyDescent="0.2">
      <c r="B10" s="4"/>
      <c r="C10" s="1"/>
      <c r="D10" s="1"/>
      <c r="E10" s="1"/>
      <c r="F10" s="1"/>
      <c r="G10" s="5"/>
    </row>
    <row r="12" spans="1:9" x14ac:dyDescent="0.2">
      <c r="B12" s="132" t="s">
        <v>3</v>
      </c>
      <c r="C12" s="132"/>
      <c r="D12" s="132"/>
      <c r="E12" s="132"/>
      <c r="F12" s="132"/>
      <c r="G12" s="132"/>
    </row>
    <row r="13" spans="1:9" x14ac:dyDescent="0.2">
      <c r="B13" s="30"/>
      <c r="G13" s="31"/>
    </row>
    <row r="14" spans="1:9" x14ac:dyDescent="0.2">
      <c r="B14" s="30"/>
      <c r="C14" s="147" t="s">
        <v>4</v>
      </c>
      <c r="G14" s="31"/>
    </row>
    <row r="15" spans="1:9" x14ac:dyDescent="0.2">
      <c r="B15" s="30"/>
      <c r="G15" s="31"/>
    </row>
    <row r="16" spans="1:9" x14ac:dyDescent="0.2">
      <c r="B16" s="30"/>
      <c r="C16" s="41" t="s">
        <v>5</v>
      </c>
      <c r="D16" s="133" t="s">
        <v>6</v>
      </c>
      <c r="F16" s="119" t="s">
        <v>7</v>
      </c>
      <c r="G16" s="31"/>
    </row>
    <row r="17" spans="2:7" ht="6" customHeight="1" x14ac:dyDescent="0.2">
      <c r="B17" s="30"/>
      <c r="F17" s="119"/>
      <c r="G17" s="31"/>
    </row>
    <row r="18" spans="2:7" x14ac:dyDescent="0.2">
      <c r="B18" s="30"/>
      <c r="C18" s="41" t="s">
        <v>8</v>
      </c>
      <c r="D18" s="7">
        <v>20</v>
      </c>
      <c r="F18" s="119"/>
      <c r="G18" s="31"/>
    </row>
    <row r="19" spans="2:7" x14ac:dyDescent="0.2">
      <c r="B19" s="30"/>
      <c r="F19" s="20"/>
      <c r="G19" s="31"/>
    </row>
    <row r="20" spans="2:7" x14ac:dyDescent="0.2">
      <c r="B20" s="30"/>
      <c r="C20" s="147" t="s">
        <v>9</v>
      </c>
      <c r="G20" s="31"/>
    </row>
    <row r="21" spans="2:7" x14ac:dyDescent="0.2">
      <c r="B21" s="30"/>
      <c r="G21" s="31"/>
    </row>
    <row r="22" spans="2:7" x14ac:dyDescent="0.2">
      <c r="B22" s="30"/>
      <c r="C22" s="41" t="s">
        <v>10</v>
      </c>
      <c r="D22" s="133" t="s">
        <v>11</v>
      </c>
      <c r="F22" s="120" t="s">
        <v>12</v>
      </c>
      <c r="G22" s="31"/>
    </row>
    <row r="23" spans="2:7" x14ac:dyDescent="0.2">
      <c r="B23" s="30"/>
      <c r="F23" s="121"/>
      <c r="G23" s="31"/>
    </row>
    <row r="24" spans="2:7" x14ac:dyDescent="0.2">
      <c r="B24" s="30"/>
      <c r="F24" s="121"/>
      <c r="G24" s="31"/>
    </row>
    <row r="25" spans="2:7" x14ac:dyDescent="0.2">
      <c r="B25" s="32"/>
      <c r="C25" s="33"/>
      <c r="D25" s="33"/>
      <c r="E25" s="33"/>
      <c r="F25" s="33"/>
      <c r="G25" s="34"/>
    </row>
  </sheetData>
  <mergeCells count="5">
    <mergeCell ref="B7:G7"/>
    <mergeCell ref="A1:XFD3"/>
    <mergeCell ref="B12:G12"/>
    <mergeCell ref="F16:F18"/>
    <mergeCell ref="F22:F24"/>
  </mergeCells>
  <conditionalFormatting sqref="D18">
    <cfRule type="expression" dxfId="40" priority="1">
      <formula>shift_late_income_status="Inactive"</formula>
    </cfRule>
  </conditionalFormatting>
  <dataValidations count="2">
    <dataValidation type="list" allowBlank="1" showInputMessage="1" showErrorMessage="1" sqref="D16" xr:uid="{BD251A0F-FE18-42AA-81D3-EF51722E5DC9}">
      <formula1>"Active, Inactive"</formula1>
    </dataValidation>
    <dataValidation type="list" allowBlank="1" showInputMessage="1" showErrorMessage="1" sqref="D22" xr:uid="{DE387081-E570-4EF2-8FC6-4187D77996D5}">
      <formula1>"% allocated to Savings, % not allocated to Expenses"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AF2B8-B59C-45A1-A5FA-007F4C6D1861}">
  <dimension ref="A1:BV50"/>
  <sheetViews>
    <sheetView showGridLines="0" topLeftCell="A10" zoomScale="150" zoomScaleNormal="75" workbookViewId="0">
      <pane xSplit="4" topLeftCell="E1" activePane="topRight" state="frozen"/>
      <selection pane="topRight" activeCell="G31" sqref="G31"/>
    </sheetView>
  </sheetViews>
  <sheetFormatPr baseColWidth="10" defaultColWidth="8.83203125" defaultRowHeight="15" outlineLevelCol="2" x14ac:dyDescent="0.2"/>
  <cols>
    <col min="1" max="1" width="3" customWidth="1"/>
    <col min="2" max="2" width="2.1640625" customWidth="1"/>
    <col min="3" max="3" width="27.5" customWidth="1"/>
    <col min="4" max="4" width="1.1640625" customWidth="1"/>
    <col min="5" max="16" width="8.6640625" customWidth="1" outlineLevel="2"/>
    <col min="18" max="18" width="2.33203125" customWidth="1"/>
    <col min="19" max="30" width="8.6640625" hidden="1" customWidth="1" outlineLevel="2"/>
    <col min="31" max="31" width="8.6640625" collapsed="1"/>
    <col min="32" max="32" width="2.33203125" customWidth="1"/>
    <col min="33" max="44" width="0" hidden="1" customWidth="1" outlineLevel="2"/>
    <col min="45" max="45" width="8.6640625" customWidth="1" collapsed="1"/>
    <col min="46" max="46" width="2.33203125" customWidth="1"/>
    <col min="47" max="58" width="0" hidden="1" customWidth="1" outlineLevel="2"/>
    <col min="59" max="59" width="8.6640625" collapsed="1"/>
    <col min="60" max="60" width="2.33203125" customWidth="1"/>
    <col min="61" max="72" width="0" hidden="1" customWidth="1" outlineLevel="2"/>
    <col min="73" max="73" width="8.6640625" collapsed="1"/>
  </cols>
  <sheetData>
    <row r="1" spans="1:73" s="134" customFormat="1" ht="6" customHeight="1" x14ac:dyDescent="0.2">
      <c r="B1" s="135"/>
      <c r="C1" s="135"/>
    </row>
    <row r="2" spans="1:73" s="134" customFormat="1" ht="31" customHeight="1" x14ac:dyDescent="0.2">
      <c r="A2" s="135" t="s">
        <v>13</v>
      </c>
      <c r="B2" s="135"/>
      <c r="C2" s="135"/>
    </row>
    <row r="3" spans="1:73" s="134" customFormat="1" ht="6" customHeight="1" x14ac:dyDescent="0.2">
      <c r="A3" s="135"/>
      <c r="B3" s="135"/>
      <c r="C3" s="135"/>
    </row>
    <row r="5" spans="1:73" x14ac:dyDescent="0.2">
      <c r="C5" s="24"/>
      <c r="E5" s="132">
        <v>2026</v>
      </c>
      <c r="F5" s="132"/>
      <c r="G5" s="132"/>
      <c r="H5" s="132"/>
      <c r="I5" s="132"/>
      <c r="J5" s="132"/>
      <c r="K5" s="132"/>
      <c r="L5" s="132"/>
      <c r="M5" s="132"/>
      <c r="N5" s="132"/>
      <c r="O5" s="132"/>
      <c r="P5" s="132"/>
      <c r="Q5" s="132"/>
      <c r="S5" s="132">
        <v>2027</v>
      </c>
      <c r="T5" s="132"/>
      <c r="U5" s="132"/>
      <c r="V5" s="132"/>
      <c r="W5" s="132"/>
      <c r="X5" s="132"/>
      <c r="Y5" s="132"/>
      <c r="Z5" s="132"/>
      <c r="AA5" s="132"/>
      <c r="AB5" s="132"/>
      <c r="AC5" s="132"/>
      <c r="AD5" s="132"/>
      <c r="AE5" s="132"/>
      <c r="AG5" s="132">
        <v>2028</v>
      </c>
      <c r="AH5" s="132"/>
      <c r="AI5" s="132"/>
      <c r="AJ5" s="132"/>
      <c r="AK5" s="132"/>
      <c r="AL5" s="132"/>
      <c r="AM5" s="132"/>
      <c r="AN5" s="132"/>
      <c r="AO5" s="132"/>
      <c r="AP5" s="132"/>
      <c r="AQ5" s="132"/>
      <c r="AR5" s="132"/>
      <c r="AS5" s="132"/>
      <c r="AU5" s="132">
        <v>2029</v>
      </c>
      <c r="AV5" s="132"/>
      <c r="AW5" s="132"/>
      <c r="AX5" s="132"/>
      <c r="AY5" s="132"/>
      <c r="AZ5" s="132"/>
      <c r="BA5" s="132"/>
      <c r="BB5" s="132"/>
      <c r="BC5" s="132"/>
      <c r="BD5" s="132"/>
      <c r="BE5" s="132"/>
      <c r="BF5" s="132"/>
      <c r="BG5" s="132"/>
      <c r="BI5" s="132">
        <v>2030</v>
      </c>
      <c r="BJ5" s="132"/>
      <c r="BK5" s="132"/>
      <c r="BL5" s="132"/>
      <c r="BM5" s="132"/>
      <c r="BN5" s="132"/>
      <c r="BO5" s="132"/>
      <c r="BP5" s="132"/>
      <c r="BQ5" s="132"/>
      <c r="BR5" s="132"/>
      <c r="BS5" s="132"/>
      <c r="BT5" s="132"/>
      <c r="BU5" s="132"/>
    </row>
    <row r="6" spans="1:73" x14ac:dyDescent="0.2">
      <c r="E6" s="28" t="str">
        <f ca="1">IF(E7=0,"Jan✓","Jan")</f>
        <v>Jan✓</v>
      </c>
      <c r="F6" s="28" t="str">
        <f ca="1">IF(F7=0,"Feb✓","Feb")</f>
        <v>Feb✓</v>
      </c>
      <c r="G6" s="28" t="str">
        <f ca="1">IF(G7=0,"Mar✓","Mar")</f>
        <v>Mar✓</v>
      </c>
      <c r="H6" s="28" t="str">
        <f ca="1">IF(H7=0,"Apr✓","Apr")</f>
        <v>Apr✓</v>
      </c>
      <c r="I6" s="28" t="str">
        <f ca="1">IF(I7=0,"May✓","May")</f>
        <v>May✓</v>
      </c>
      <c r="J6" s="28" t="str">
        <f ca="1">IF(J7=0,"Jun✓","Jun")</f>
        <v>Jun✓</v>
      </c>
      <c r="K6" s="28" t="str">
        <f ca="1">IF(K7=0,"Jul✓","Jul")</f>
        <v>Jul✓</v>
      </c>
      <c r="L6" s="28" t="str">
        <f ca="1">IF(L7=0,"Aug✓","Aug")</f>
        <v>Aug✓</v>
      </c>
      <c r="M6" s="28" t="str">
        <f ca="1">IF(M7=0,"Sep✓","Sep")</f>
        <v>Sep✓</v>
      </c>
      <c r="N6" s="28" t="str">
        <f ca="1">IF(N7=0,"Oct✓","Oct")</f>
        <v>Oct✓</v>
      </c>
      <c r="O6" s="28" t="str">
        <f ca="1">IF(O7=0,"Nov✓","Nov")</f>
        <v>Nov✓</v>
      </c>
      <c r="P6" s="28" t="str">
        <f ca="1">IF(P7=0,"Dec✓","Dec")</f>
        <v>Dec✓</v>
      </c>
      <c r="Q6" s="28" t="str">
        <f ca="1">IF(Q7=0,"Total✓","Total")</f>
        <v>Total✓</v>
      </c>
      <c r="S6" s="28" t="str">
        <f ca="1">IF(S7=0,"Jan✓","Jan")</f>
        <v>Jan✓</v>
      </c>
      <c r="T6" s="28" t="str">
        <f ca="1">IF(T7=0,"Feb✓","Feb")</f>
        <v>Feb✓</v>
      </c>
      <c r="U6" s="28" t="str">
        <f ca="1">IF(U7=0,"Mar✓","Mar")</f>
        <v>Mar✓</v>
      </c>
      <c r="V6" s="28" t="str">
        <f ca="1">IF(V7=0,"Apr✓","Apr")</f>
        <v>Apr✓</v>
      </c>
      <c r="W6" s="28" t="str">
        <f ca="1">IF(W7=0,"May✓","May")</f>
        <v>May✓</v>
      </c>
      <c r="X6" s="28" t="str">
        <f ca="1">IF(X7=0,"Jun✓","Jun")</f>
        <v>Jun✓</v>
      </c>
      <c r="Y6" s="28" t="str">
        <f ca="1">IF(Y7=0,"Jul✓","Jul")</f>
        <v>Jul✓</v>
      </c>
      <c r="Z6" s="28" t="str">
        <f ca="1">IF(Z7=0,"Aug✓","Aug")</f>
        <v>Aug✓</v>
      </c>
      <c r="AA6" s="28" t="str">
        <f ca="1">IF(AA7=0,"Sep✓","Sep")</f>
        <v>Sep✓</v>
      </c>
      <c r="AB6" s="28" t="str">
        <f ca="1">IF(AB7=0,"Oct✓","Oct")</f>
        <v>Oct✓</v>
      </c>
      <c r="AC6" s="28" t="str">
        <f ca="1">IF(AC7=0,"Nov✓","Nov")</f>
        <v>Nov✓</v>
      </c>
      <c r="AD6" s="28" t="str">
        <f ca="1">IF(AD7=0,"Dec✓","Dec")</f>
        <v>Dec✓</v>
      </c>
      <c r="AE6" s="28" t="str">
        <f ca="1">IF(AE7=0,"Total✓","Total")</f>
        <v>Total✓</v>
      </c>
      <c r="AG6" s="28" t="str">
        <f ca="1">IF(AG7=0,"Jan✓","Jan")</f>
        <v>Jan✓</v>
      </c>
      <c r="AH6" s="28" t="str">
        <f ca="1">IF(AH7=0,"Feb✓","Feb")</f>
        <v>Feb✓</v>
      </c>
      <c r="AI6" s="28" t="str">
        <f ca="1">IF(AI7=0,"Mar✓","Mar")</f>
        <v>Mar✓</v>
      </c>
      <c r="AJ6" s="28" t="str">
        <f ca="1">IF(AJ7=0,"Apr✓","Apr")</f>
        <v>Apr✓</v>
      </c>
      <c r="AK6" s="28" t="str">
        <f ca="1">IF(AK7=0,"May✓","May")</f>
        <v>May✓</v>
      </c>
      <c r="AL6" s="28" t="str">
        <f ca="1">IF(AL7=0,"Jun✓","Jun")</f>
        <v>Jun✓</v>
      </c>
      <c r="AM6" s="28" t="str">
        <f ca="1">IF(AM7=0,"Jul✓","Jul")</f>
        <v>Jul✓</v>
      </c>
      <c r="AN6" s="28" t="str">
        <f ca="1">IF(AN7=0,"Aug✓","Aug")</f>
        <v>Aug✓</v>
      </c>
      <c r="AO6" s="28" t="str">
        <f ca="1">IF(AO7=0,"Sep✓","Sep")</f>
        <v>Sep✓</v>
      </c>
      <c r="AP6" s="28" t="str">
        <f ca="1">IF(AP7=0,"Oct✓","Oct")</f>
        <v>Oct✓</v>
      </c>
      <c r="AQ6" s="28" t="str">
        <f ca="1">IF(AQ7=0,"Nov✓","Nov")</f>
        <v>Nov✓</v>
      </c>
      <c r="AR6" s="28" t="str">
        <f ca="1">IF(AR7=0,"Dec✓","Dec")</f>
        <v>Dec✓</v>
      </c>
      <c r="AS6" s="28" t="str">
        <f ca="1">IF(AS7=0,"Total✓","Total")</f>
        <v>Total✓</v>
      </c>
      <c r="AU6" s="28" t="str">
        <f ca="1">IF(AU7=0,"Jan✓","Jan")</f>
        <v>Jan✓</v>
      </c>
      <c r="AV6" s="28" t="str">
        <f ca="1">IF(AV7=0,"Feb✓","Feb")</f>
        <v>Feb✓</v>
      </c>
      <c r="AW6" s="28" t="str">
        <f ca="1">IF(AW7=0,"Mar✓","Mar")</f>
        <v>Mar✓</v>
      </c>
      <c r="AX6" s="28" t="str">
        <f ca="1">IF(AX7=0,"Apr✓","Apr")</f>
        <v>Apr✓</v>
      </c>
      <c r="AY6" s="28" t="str">
        <f ca="1">IF(AY7=0,"May✓","May")</f>
        <v>May✓</v>
      </c>
      <c r="AZ6" s="28" t="str">
        <f ca="1">IF(AZ7=0,"Jun✓","Jun")</f>
        <v>Jun✓</v>
      </c>
      <c r="BA6" s="28" t="str">
        <f ca="1">IF(BA7=0,"Jul✓","Jul")</f>
        <v>Jul✓</v>
      </c>
      <c r="BB6" s="28" t="str">
        <f ca="1">IF(BB7=0,"Aug✓","Aug")</f>
        <v>Aug✓</v>
      </c>
      <c r="BC6" s="28" t="str">
        <f ca="1">IF(BC7=0,"Sep✓","Sep")</f>
        <v>Sep✓</v>
      </c>
      <c r="BD6" s="28" t="str">
        <f ca="1">IF(BD7=0,"Oct✓","Oct")</f>
        <v>Oct✓</v>
      </c>
      <c r="BE6" s="28" t="str">
        <f ca="1">IF(BE7=0,"Nov✓","Nov")</f>
        <v>Nov✓</v>
      </c>
      <c r="BF6" s="28" t="str">
        <f ca="1">IF(BF7=0,"Dec✓","Dec")</f>
        <v>Dec✓</v>
      </c>
      <c r="BG6" s="28" t="str">
        <f ca="1">IF(BG7=0,"Total✓","Total")</f>
        <v>Total✓</v>
      </c>
      <c r="BI6" s="28" t="str">
        <f ca="1">IF(BI7=0,"Jan✓","Jan")</f>
        <v>Jan✓</v>
      </c>
      <c r="BJ6" s="28" t="str">
        <f ca="1">IF(BJ7=0,"Feb✓","Feb")</f>
        <v>Feb✓</v>
      </c>
      <c r="BK6" s="28" t="str">
        <f ca="1">IF(BK7=0,"Mar✓","Mar")</f>
        <v>Mar✓</v>
      </c>
      <c r="BL6" s="28" t="str">
        <f ca="1">IF(BL7=0,"Apr✓","Apr")</f>
        <v>Apr✓</v>
      </c>
      <c r="BM6" s="28" t="str">
        <f ca="1">IF(BM7=0,"May✓","May")</f>
        <v>May✓</v>
      </c>
      <c r="BN6" s="28" t="str">
        <f ca="1">IF(BN7=0,"Jun✓","Jun")</f>
        <v>Jun✓</v>
      </c>
      <c r="BO6" s="28" t="str">
        <f ca="1">IF(BO7=0,"Jul✓","Jul")</f>
        <v>Jul✓</v>
      </c>
      <c r="BP6" s="28" t="str">
        <f ca="1">IF(BP7=0,"Aug✓","Aug")</f>
        <v>Aug✓</v>
      </c>
      <c r="BQ6" s="28" t="str">
        <f ca="1">IF(BQ7=0,"Sep✓","Sep")</f>
        <v>Sep✓</v>
      </c>
      <c r="BR6" s="28" t="str">
        <f ca="1">IF(BR7=0,"Oct✓","Oct")</f>
        <v>Oct✓</v>
      </c>
      <c r="BS6" s="28" t="str">
        <f ca="1">IF(BS7=0,"Nov✓","Nov")</f>
        <v>Nov✓</v>
      </c>
      <c r="BT6" s="28" t="str">
        <f ca="1">IF(BT7=0,"Dec✓","Dec")</f>
        <v>Dec✓</v>
      </c>
      <c r="BU6" s="28" t="str">
        <f ca="1">IF(BU7=0,"Total✓","Total")</f>
        <v>Total✓</v>
      </c>
    </row>
    <row r="7" spans="1:73" x14ac:dyDescent="0.2">
      <c r="C7" s="25" t="s">
        <v>14</v>
      </c>
      <c r="E7" s="26">
        <f t="shared" ref="E7:Q7" ca="1" si="0">E19-(E40+E47)</f>
        <v>0</v>
      </c>
      <c r="F7" s="26">
        <f t="shared" ca="1" si="0"/>
        <v>0</v>
      </c>
      <c r="G7" s="26">
        <f t="shared" ca="1" si="0"/>
        <v>0</v>
      </c>
      <c r="H7" s="26">
        <f t="shared" ca="1" si="0"/>
        <v>0</v>
      </c>
      <c r="I7" s="26">
        <f t="shared" ca="1" si="0"/>
        <v>0</v>
      </c>
      <c r="J7" s="26">
        <f t="shared" ca="1" si="0"/>
        <v>0</v>
      </c>
      <c r="K7" s="26">
        <f t="shared" ca="1" si="0"/>
        <v>0</v>
      </c>
      <c r="L7" s="26">
        <f t="shared" ca="1" si="0"/>
        <v>0</v>
      </c>
      <c r="M7" s="26">
        <f t="shared" ca="1" si="0"/>
        <v>0</v>
      </c>
      <c r="N7" s="26">
        <f t="shared" ca="1" si="0"/>
        <v>0</v>
      </c>
      <c r="O7" s="26">
        <f t="shared" ca="1" si="0"/>
        <v>0</v>
      </c>
      <c r="P7" s="26">
        <f t="shared" ca="1" si="0"/>
        <v>0</v>
      </c>
      <c r="Q7" s="27">
        <f t="shared" ca="1" si="0"/>
        <v>0</v>
      </c>
      <c r="S7" s="26">
        <f t="shared" ref="S7:AE7" ca="1" si="1">S19-(S40+S47)</f>
        <v>0</v>
      </c>
      <c r="T7" s="26">
        <f t="shared" ca="1" si="1"/>
        <v>0</v>
      </c>
      <c r="U7" s="26">
        <f t="shared" ca="1" si="1"/>
        <v>0</v>
      </c>
      <c r="V7" s="26">
        <f t="shared" ca="1" si="1"/>
        <v>0</v>
      </c>
      <c r="W7" s="26">
        <f t="shared" ca="1" si="1"/>
        <v>0</v>
      </c>
      <c r="X7" s="26">
        <f t="shared" ca="1" si="1"/>
        <v>0</v>
      </c>
      <c r="Y7" s="26">
        <f t="shared" ca="1" si="1"/>
        <v>0</v>
      </c>
      <c r="Z7" s="26">
        <f t="shared" ca="1" si="1"/>
        <v>0</v>
      </c>
      <c r="AA7" s="26">
        <f t="shared" ca="1" si="1"/>
        <v>0</v>
      </c>
      <c r="AB7" s="26">
        <f t="shared" ca="1" si="1"/>
        <v>0</v>
      </c>
      <c r="AC7" s="26">
        <f t="shared" ca="1" si="1"/>
        <v>0</v>
      </c>
      <c r="AD7" s="26">
        <f t="shared" ca="1" si="1"/>
        <v>0</v>
      </c>
      <c r="AE7" s="27">
        <f t="shared" ca="1" si="1"/>
        <v>0</v>
      </c>
      <c r="AG7" s="26">
        <f t="shared" ref="AG7:AS7" ca="1" si="2">AG19-(AG40+AG47)</f>
        <v>0</v>
      </c>
      <c r="AH7" s="26">
        <f t="shared" ca="1" si="2"/>
        <v>0</v>
      </c>
      <c r="AI7" s="26">
        <f t="shared" ca="1" si="2"/>
        <v>0</v>
      </c>
      <c r="AJ7" s="26">
        <f t="shared" ca="1" si="2"/>
        <v>0</v>
      </c>
      <c r="AK7" s="26">
        <f t="shared" ca="1" si="2"/>
        <v>0</v>
      </c>
      <c r="AL7" s="26">
        <f t="shared" ca="1" si="2"/>
        <v>0</v>
      </c>
      <c r="AM7" s="26">
        <f t="shared" ca="1" si="2"/>
        <v>0</v>
      </c>
      <c r="AN7" s="26">
        <f t="shared" ca="1" si="2"/>
        <v>0</v>
      </c>
      <c r="AO7" s="26">
        <f t="shared" ca="1" si="2"/>
        <v>0</v>
      </c>
      <c r="AP7" s="26">
        <f t="shared" ca="1" si="2"/>
        <v>0</v>
      </c>
      <c r="AQ7" s="26">
        <f t="shared" ca="1" si="2"/>
        <v>0</v>
      </c>
      <c r="AR7" s="26">
        <f t="shared" ca="1" si="2"/>
        <v>0</v>
      </c>
      <c r="AS7" s="27">
        <f t="shared" ca="1" si="2"/>
        <v>0</v>
      </c>
      <c r="AU7" s="26">
        <f t="shared" ref="AU7:BG7" ca="1" si="3">AU19-(AU40+AU47)</f>
        <v>0</v>
      </c>
      <c r="AV7" s="26">
        <f t="shared" ca="1" si="3"/>
        <v>0</v>
      </c>
      <c r="AW7" s="26">
        <f t="shared" ca="1" si="3"/>
        <v>0</v>
      </c>
      <c r="AX7" s="26">
        <f t="shared" ca="1" si="3"/>
        <v>0</v>
      </c>
      <c r="AY7" s="26">
        <f t="shared" ca="1" si="3"/>
        <v>0</v>
      </c>
      <c r="AZ7" s="26">
        <f t="shared" ca="1" si="3"/>
        <v>0</v>
      </c>
      <c r="BA7" s="26">
        <f t="shared" ca="1" si="3"/>
        <v>0</v>
      </c>
      <c r="BB7" s="26">
        <f t="shared" ca="1" si="3"/>
        <v>0</v>
      </c>
      <c r="BC7" s="26">
        <f t="shared" ca="1" si="3"/>
        <v>0</v>
      </c>
      <c r="BD7" s="26">
        <f t="shared" ca="1" si="3"/>
        <v>0</v>
      </c>
      <c r="BE7" s="26">
        <f t="shared" ca="1" si="3"/>
        <v>0</v>
      </c>
      <c r="BF7" s="26">
        <f t="shared" ca="1" si="3"/>
        <v>0</v>
      </c>
      <c r="BG7" s="27">
        <f t="shared" ca="1" si="3"/>
        <v>0</v>
      </c>
      <c r="BI7" s="26">
        <f t="shared" ref="BI7:BU7" ca="1" si="4">BI19-(BI40+BI47)</f>
        <v>0</v>
      </c>
      <c r="BJ7" s="26">
        <f t="shared" ca="1" si="4"/>
        <v>0</v>
      </c>
      <c r="BK7" s="26">
        <f t="shared" ca="1" si="4"/>
        <v>0</v>
      </c>
      <c r="BL7" s="26">
        <f t="shared" ca="1" si="4"/>
        <v>0</v>
      </c>
      <c r="BM7" s="26">
        <f t="shared" ca="1" si="4"/>
        <v>0</v>
      </c>
      <c r="BN7" s="26">
        <f t="shared" ca="1" si="4"/>
        <v>0</v>
      </c>
      <c r="BO7" s="26">
        <f t="shared" ca="1" si="4"/>
        <v>0</v>
      </c>
      <c r="BP7" s="26">
        <f t="shared" ca="1" si="4"/>
        <v>0</v>
      </c>
      <c r="BQ7" s="26">
        <f t="shared" ca="1" si="4"/>
        <v>0</v>
      </c>
      <c r="BR7" s="26">
        <f t="shared" ca="1" si="4"/>
        <v>0</v>
      </c>
      <c r="BS7" s="26">
        <f t="shared" ca="1" si="4"/>
        <v>0</v>
      </c>
      <c r="BT7" s="26">
        <f t="shared" ca="1" si="4"/>
        <v>0</v>
      </c>
      <c r="BU7" s="27">
        <f t="shared" ca="1" si="4"/>
        <v>0</v>
      </c>
    </row>
    <row r="9" spans="1:73" x14ac:dyDescent="0.2">
      <c r="C9" s="6" t="s">
        <v>15</v>
      </c>
      <c r="E9" s="11">
        <f>DATE(E$5,1,1)</f>
        <v>46023</v>
      </c>
      <c r="F9" s="11">
        <f>DATE(E$5,2,1)</f>
        <v>46054</v>
      </c>
      <c r="G9" s="11">
        <f>DATE(E$5,3,1)</f>
        <v>46082</v>
      </c>
      <c r="H9" s="11">
        <f>DATE(E$5,4,1)</f>
        <v>46113</v>
      </c>
      <c r="I9" s="11">
        <f>DATE(E$5,5,1)</f>
        <v>46143</v>
      </c>
      <c r="J9" s="11">
        <f>DATE(E$5,6,1)</f>
        <v>46174</v>
      </c>
      <c r="K9" s="11">
        <f>DATE(E$5,7,1)</f>
        <v>46204</v>
      </c>
      <c r="L9" s="11">
        <f>DATE(E$5,8,1)</f>
        <v>46235</v>
      </c>
      <c r="M9" s="11">
        <f>DATE(E$5,9,1)</f>
        <v>46266</v>
      </c>
      <c r="N9" s="11">
        <f>DATE(E$5,10,1)</f>
        <v>46296</v>
      </c>
      <c r="O9" s="11">
        <f>DATE(E$5,11,1)</f>
        <v>46327</v>
      </c>
      <c r="P9" s="11">
        <f>DATE(E$5,12,1)</f>
        <v>46357</v>
      </c>
      <c r="Q9" s="10">
        <f>E$5</f>
        <v>2026</v>
      </c>
      <c r="S9" s="11">
        <f>DATE(S$5,1,1)</f>
        <v>46388</v>
      </c>
      <c r="T9" s="11">
        <f>DATE(S$5,2,1)</f>
        <v>46419</v>
      </c>
      <c r="U9" s="11">
        <f>DATE(S$5,3,1)</f>
        <v>46447</v>
      </c>
      <c r="V9" s="11">
        <f>DATE(S$5,4,1)</f>
        <v>46478</v>
      </c>
      <c r="W9" s="11">
        <f>DATE(S$5,5,1)</f>
        <v>46508</v>
      </c>
      <c r="X9" s="11">
        <f>DATE(S$5,6,1)</f>
        <v>46539</v>
      </c>
      <c r="Y9" s="11">
        <f>DATE(S$5,7,1)</f>
        <v>46569</v>
      </c>
      <c r="Z9" s="11">
        <f>DATE(S$5,8,1)</f>
        <v>46600</v>
      </c>
      <c r="AA9" s="11">
        <f>DATE(S$5,9,1)</f>
        <v>46631</v>
      </c>
      <c r="AB9" s="11">
        <f>DATE(S$5,10,1)</f>
        <v>46661</v>
      </c>
      <c r="AC9" s="11">
        <f>DATE(S$5,11,1)</f>
        <v>46692</v>
      </c>
      <c r="AD9" s="11">
        <f>DATE(S$5,12,1)</f>
        <v>46722</v>
      </c>
      <c r="AE9" s="10">
        <f>S$5</f>
        <v>2027</v>
      </c>
      <c r="AG9" s="11">
        <f>DATE(AG$5,1,1)</f>
        <v>46753</v>
      </c>
      <c r="AH9" s="11">
        <f>DATE(AG$5,2,1)</f>
        <v>46784</v>
      </c>
      <c r="AI9" s="11">
        <f>DATE(AG$5,3,1)</f>
        <v>46813</v>
      </c>
      <c r="AJ9" s="11">
        <f>DATE(AG$5,4,1)</f>
        <v>46844</v>
      </c>
      <c r="AK9" s="11">
        <f>DATE(AG$5,5,1)</f>
        <v>46874</v>
      </c>
      <c r="AL9" s="11">
        <f>DATE(AG$5,6,1)</f>
        <v>46905</v>
      </c>
      <c r="AM9" s="11">
        <f>DATE(AG$5,7,1)</f>
        <v>46935</v>
      </c>
      <c r="AN9" s="11">
        <f>DATE(AG$5,8,1)</f>
        <v>46966</v>
      </c>
      <c r="AO9" s="11">
        <f>DATE(AG$5,9,1)</f>
        <v>46997</v>
      </c>
      <c r="AP9" s="11">
        <f>DATE(AG$5,10,1)</f>
        <v>47027</v>
      </c>
      <c r="AQ9" s="11">
        <f>DATE(AG$5,11,1)</f>
        <v>47058</v>
      </c>
      <c r="AR9" s="11">
        <f>DATE(AG$5,12,1)</f>
        <v>47088</v>
      </c>
      <c r="AS9" s="10">
        <f>AG$5</f>
        <v>2028</v>
      </c>
      <c r="AU9" s="11">
        <f>DATE(AU$5,1,1)</f>
        <v>47119</v>
      </c>
      <c r="AV9" s="11">
        <f>DATE(AU$5,2,1)</f>
        <v>47150</v>
      </c>
      <c r="AW9" s="11">
        <f>DATE(AU$5,3,1)</f>
        <v>47178</v>
      </c>
      <c r="AX9" s="11">
        <f>DATE(AU$5,4,1)</f>
        <v>47209</v>
      </c>
      <c r="AY9" s="11">
        <f>DATE(AU$5,5,1)</f>
        <v>47239</v>
      </c>
      <c r="AZ9" s="11">
        <f>DATE(AU$5,6,1)</f>
        <v>47270</v>
      </c>
      <c r="BA9" s="11">
        <f>DATE(AU$5,7,1)</f>
        <v>47300</v>
      </c>
      <c r="BB9" s="11">
        <f>DATE(AU$5,8,1)</f>
        <v>47331</v>
      </c>
      <c r="BC9" s="11">
        <f>DATE(AU$5,9,1)</f>
        <v>47362</v>
      </c>
      <c r="BD9" s="11">
        <f>DATE(AU$5,10,1)</f>
        <v>47392</v>
      </c>
      <c r="BE9" s="11">
        <f>DATE(AU$5,11,1)</f>
        <v>47423</v>
      </c>
      <c r="BF9" s="11">
        <f>DATE(AU$5,12,1)</f>
        <v>47453</v>
      </c>
      <c r="BG9" s="10">
        <f>AU$5</f>
        <v>2029</v>
      </c>
      <c r="BI9" s="11">
        <f>DATE(BI$5,1,1)</f>
        <v>47484</v>
      </c>
      <c r="BJ9" s="11">
        <f>DATE(BI$5,2,1)</f>
        <v>47515</v>
      </c>
      <c r="BK9" s="11">
        <f>DATE(BI$5,3,1)</f>
        <v>47543</v>
      </c>
      <c r="BL9" s="11">
        <f>DATE(BI$5,4,1)</f>
        <v>47574</v>
      </c>
      <c r="BM9" s="11">
        <f>DATE(BI$5,5,1)</f>
        <v>47604</v>
      </c>
      <c r="BN9" s="11">
        <f>DATE(BI$5,6,1)</f>
        <v>47635</v>
      </c>
      <c r="BO9" s="11">
        <f>DATE(BI$5,7,1)</f>
        <v>47665</v>
      </c>
      <c r="BP9" s="11">
        <f>DATE(BI$5,8,1)</f>
        <v>47696</v>
      </c>
      <c r="BQ9" s="11">
        <f>DATE(BI$5,9,1)</f>
        <v>47727</v>
      </c>
      <c r="BR9" s="11">
        <f>DATE(BI$5,10,1)</f>
        <v>47757</v>
      </c>
      <c r="BS9" s="11">
        <f>DATE(BI$5,11,1)</f>
        <v>47788</v>
      </c>
      <c r="BT9" s="11">
        <f>DATE(BI$5,12,1)</f>
        <v>47818</v>
      </c>
      <c r="BU9" s="10">
        <f>BI$5</f>
        <v>2030</v>
      </c>
    </row>
    <row r="10" spans="1:73" x14ac:dyDescent="0.2">
      <c r="C10" s="73" t="s">
        <v>16</v>
      </c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6">
        <f>SUM(E10:P10)</f>
        <v>0</v>
      </c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6">
        <f t="shared" ref="AE10:AE18" si="5">SUM(S10:AD10)</f>
        <v>0</v>
      </c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6">
        <f t="shared" ref="AS10:AS18" si="6">SUM(AG10:AR10)</f>
        <v>0</v>
      </c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6">
        <f t="shared" ref="BG10:BG18" si="7">SUM(AU10:BF10)</f>
        <v>0</v>
      </c>
      <c r="BI10" s="14"/>
      <c r="BJ10" s="14"/>
      <c r="BK10" s="14"/>
      <c r="BL10" s="14"/>
      <c r="BM10" s="14"/>
      <c r="BN10" s="14"/>
      <c r="BO10" s="14"/>
      <c r="BP10" s="14"/>
      <c r="BQ10" s="14"/>
      <c r="BR10" s="14"/>
      <c r="BS10" s="14"/>
      <c r="BT10" s="14"/>
      <c r="BU10" s="16">
        <f t="shared" ref="BU10:BU18" si="8">SUM(BI10:BT10)</f>
        <v>0</v>
      </c>
    </row>
    <row r="11" spans="1:73" hidden="1" x14ac:dyDescent="0.2">
      <c r="C11" s="13" t="s">
        <v>17</v>
      </c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6">
        <f t="shared" ref="Q11:Q18" si="9">SUM(E11:P11)</f>
        <v>0</v>
      </c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>
        <f t="shared" si="5"/>
        <v>0</v>
      </c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6">
        <f t="shared" si="6"/>
        <v>0</v>
      </c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6">
        <f t="shared" si="7"/>
        <v>0</v>
      </c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6">
        <f t="shared" si="8"/>
        <v>0</v>
      </c>
    </row>
    <row r="12" spans="1:73" hidden="1" x14ac:dyDescent="0.2">
      <c r="C12" s="13" t="s">
        <v>17</v>
      </c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6">
        <f t="shared" si="9"/>
        <v>0</v>
      </c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>
        <f t="shared" si="5"/>
        <v>0</v>
      </c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6">
        <f t="shared" si="6"/>
        <v>0</v>
      </c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6">
        <f t="shared" si="7"/>
        <v>0</v>
      </c>
      <c r="BI12" s="14"/>
      <c r="BJ12" s="14"/>
      <c r="BK12" s="14"/>
      <c r="BL12" s="14"/>
      <c r="BM12" s="14"/>
      <c r="BN12" s="14"/>
      <c r="BO12" s="14"/>
      <c r="BP12" s="14"/>
      <c r="BQ12" s="14"/>
      <c r="BR12" s="14"/>
      <c r="BS12" s="14"/>
      <c r="BT12" s="14"/>
      <c r="BU12" s="16">
        <f t="shared" si="8"/>
        <v>0</v>
      </c>
    </row>
    <row r="13" spans="1:73" hidden="1" x14ac:dyDescent="0.2">
      <c r="C13" s="13" t="s">
        <v>17</v>
      </c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6">
        <f>SUM(E13:P13)</f>
        <v>0</v>
      </c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>
        <f t="shared" si="5"/>
        <v>0</v>
      </c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6">
        <f t="shared" si="6"/>
        <v>0</v>
      </c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6">
        <f t="shared" si="7"/>
        <v>0</v>
      </c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/>
      <c r="BU13" s="16">
        <f t="shared" si="8"/>
        <v>0</v>
      </c>
    </row>
    <row r="14" spans="1:73" hidden="1" x14ac:dyDescent="0.2">
      <c r="C14" s="13" t="s">
        <v>17</v>
      </c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6">
        <f t="shared" si="9"/>
        <v>0</v>
      </c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>
        <f t="shared" si="5"/>
        <v>0</v>
      </c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6">
        <f t="shared" si="6"/>
        <v>0</v>
      </c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6">
        <f t="shared" si="7"/>
        <v>0</v>
      </c>
      <c r="BI14" s="14"/>
      <c r="BJ14" s="14"/>
      <c r="BK14" s="14"/>
      <c r="BL14" s="14"/>
      <c r="BM14" s="14"/>
      <c r="BN14" s="14"/>
      <c r="BO14" s="14"/>
      <c r="BP14" s="14"/>
      <c r="BQ14" s="14"/>
      <c r="BR14" s="14"/>
      <c r="BS14" s="14"/>
      <c r="BT14" s="14"/>
      <c r="BU14" s="16">
        <f t="shared" si="8"/>
        <v>0</v>
      </c>
    </row>
    <row r="15" spans="1:73" hidden="1" x14ac:dyDescent="0.2">
      <c r="C15" s="13" t="s">
        <v>17</v>
      </c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6">
        <f t="shared" si="9"/>
        <v>0</v>
      </c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>
        <f t="shared" si="5"/>
        <v>0</v>
      </c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6">
        <f t="shared" si="6"/>
        <v>0</v>
      </c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6">
        <f t="shared" si="7"/>
        <v>0</v>
      </c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6">
        <f t="shared" si="8"/>
        <v>0</v>
      </c>
    </row>
    <row r="16" spans="1:73" hidden="1" x14ac:dyDescent="0.2">
      <c r="C16" s="13" t="s">
        <v>17</v>
      </c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6">
        <f t="shared" si="9"/>
        <v>0</v>
      </c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>
        <f t="shared" si="5"/>
        <v>0</v>
      </c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6">
        <f t="shared" si="6"/>
        <v>0</v>
      </c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6">
        <f t="shared" si="7"/>
        <v>0</v>
      </c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6">
        <f t="shared" si="8"/>
        <v>0</v>
      </c>
    </row>
    <row r="17" spans="3:74" hidden="1" x14ac:dyDescent="0.2">
      <c r="C17" s="13" t="s">
        <v>17</v>
      </c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6">
        <f t="shared" si="9"/>
        <v>0</v>
      </c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>
        <f t="shared" si="5"/>
        <v>0</v>
      </c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6">
        <f t="shared" si="6"/>
        <v>0</v>
      </c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6">
        <f t="shared" si="7"/>
        <v>0</v>
      </c>
      <c r="BI17" s="14"/>
      <c r="BJ17" s="14"/>
      <c r="BK17" s="14"/>
      <c r="BL17" s="14"/>
      <c r="BM17" s="14"/>
      <c r="BN17" s="14"/>
      <c r="BO17" s="14"/>
      <c r="BP17" s="14"/>
      <c r="BQ17" s="14"/>
      <c r="BR17" s="14"/>
      <c r="BS17" s="14"/>
      <c r="BT17" s="14"/>
      <c r="BU17" s="16">
        <f t="shared" si="8"/>
        <v>0</v>
      </c>
    </row>
    <row r="18" spans="3:74" hidden="1" x14ac:dyDescent="0.2">
      <c r="C18" s="13" t="s">
        <v>17</v>
      </c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6">
        <f t="shared" si="9"/>
        <v>0</v>
      </c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>
        <f t="shared" si="5"/>
        <v>0</v>
      </c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6">
        <f t="shared" si="6"/>
        <v>0</v>
      </c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6">
        <f t="shared" si="7"/>
        <v>0</v>
      </c>
      <c r="BI18" s="14"/>
      <c r="BJ18" s="14"/>
      <c r="BK18" s="14"/>
      <c r="BL18" s="14"/>
      <c r="BM18" s="14"/>
      <c r="BN18" s="14"/>
      <c r="BO18" s="14"/>
      <c r="BP18" s="14"/>
      <c r="BQ18" s="14"/>
      <c r="BR18" s="14"/>
      <c r="BS18" s="14"/>
      <c r="BT18" s="14"/>
      <c r="BU18" s="16">
        <f t="shared" si="8"/>
        <v>0</v>
      </c>
    </row>
    <row r="19" spans="3:74" x14ac:dyDescent="0.2">
      <c r="C19" s="9" t="s">
        <v>18</v>
      </c>
      <c r="E19" s="12" cm="1">
        <f t="array" aca="1" ref="E19" ca="1">SUM(INDIRECT(ADDRESS(income_min_row,COLUMN())&amp;":"&amp;ADDRESS(income_max_row,COLUMN())))</f>
        <v>0</v>
      </c>
      <c r="F19" s="12" cm="1">
        <f t="array" aca="1" ref="F19" ca="1">SUM(INDIRECT(ADDRESS(income_min_row,COLUMN())&amp;":"&amp;ADDRESS(income_max_row,COLUMN())))</f>
        <v>0</v>
      </c>
      <c r="G19" s="12" cm="1">
        <f t="array" aca="1" ref="G19" ca="1">SUM(INDIRECT(ADDRESS(income_min_row,COLUMN())&amp;":"&amp;ADDRESS(income_max_row,COLUMN())))</f>
        <v>0</v>
      </c>
      <c r="H19" s="12" cm="1">
        <f t="array" aca="1" ref="H19" ca="1">SUM(INDIRECT(ADDRESS(income_min_row,COLUMN())&amp;":"&amp;ADDRESS(income_max_row,COLUMN())))</f>
        <v>0</v>
      </c>
      <c r="I19" s="12" cm="1">
        <f t="array" aca="1" ref="I19" ca="1">SUM(INDIRECT(ADDRESS(income_min_row,COLUMN())&amp;":"&amp;ADDRESS(income_max_row,COLUMN())))</f>
        <v>0</v>
      </c>
      <c r="J19" s="12" cm="1">
        <f t="array" aca="1" ref="J19" ca="1">SUM(INDIRECT(ADDRESS(income_min_row,COLUMN())&amp;":"&amp;ADDRESS(income_max_row,COLUMN())))</f>
        <v>0</v>
      </c>
      <c r="K19" s="12" cm="1">
        <f t="array" aca="1" ref="K19" ca="1">SUM(INDIRECT(ADDRESS(income_min_row,COLUMN())&amp;":"&amp;ADDRESS(income_max_row,COLUMN())))</f>
        <v>0</v>
      </c>
      <c r="L19" s="12" cm="1">
        <f t="array" aca="1" ref="L19" ca="1">SUM(INDIRECT(ADDRESS(income_min_row,COLUMN())&amp;":"&amp;ADDRESS(income_max_row,COLUMN())))</f>
        <v>0</v>
      </c>
      <c r="M19" s="12" cm="1">
        <f t="array" aca="1" ref="M19" ca="1">SUM(INDIRECT(ADDRESS(income_min_row,COLUMN())&amp;":"&amp;ADDRESS(income_max_row,COLUMN())))</f>
        <v>0</v>
      </c>
      <c r="N19" s="12" cm="1">
        <f t="array" aca="1" ref="N19" ca="1">SUM(INDIRECT(ADDRESS(income_min_row,COLUMN())&amp;":"&amp;ADDRESS(income_max_row,COLUMN())))</f>
        <v>0</v>
      </c>
      <c r="O19" s="12" cm="1">
        <f t="array" aca="1" ref="O19" ca="1">SUM(INDIRECT(ADDRESS(income_min_row,COLUMN())&amp;":"&amp;ADDRESS(income_max_row,COLUMN())))</f>
        <v>0</v>
      </c>
      <c r="P19" s="12" cm="1">
        <f t="array" aca="1" ref="P19" ca="1">SUM(INDIRECT(ADDRESS(income_min_row,COLUMN())&amp;":"&amp;ADDRESS(income_max_row,COLUMN())))</f>
        <v>0</v>
      </c>
      <c r="Q19" s="15" cm="1">
        <f t="array" aca="1" ref="Q19" ca="1">SUM(INDIRECT(ADDRESS(income_min_row,COLUMN())&amp;":"&amp;ADDRESS(income_max_row,COLUMN())))</f>
        <v>0</v>
      </c>
      <c r="S19" s="12" cm="1">
        <f t="array" aca="1" ref="S19" ca="1">SUM(INDIRECT(ADDRESS(income_min_row,COLUMN())&amp;":"&amp;ADDRESS(income_max_row,COLUMN())))</f>
        <v>0</v>
      </c>
      <c r="T19" s="12" cm="1">
        <f t="array" aca="1" ref="T19" ca="1">SUM(INDIRECT(ADDRESS(income_min_row,COLUMN())&amp;":"&amp;ADDRESS(income_max_row,COLUMN())))</f>
        <v>0</v>
      </c>
      <c r="U19" s="12" cm="1">
        <f t="array" aca="1" ref="U19" ca="1">SUM(INDIRECT(ADDRESS(income_min_row,COLUMN())&amp;":"&amp;ADDRESS(income_max_row,COLUMN())))</f>
        <v>0</v>
      </c>
      <c r="V19" s="12" cm="1">
        <f t="array" aca="1" ref="V19" ca="1">SUM(INDIRECT(ADDRESS(income_min_row,COLUMN())&amp;":"&amp;ADDRESS(income_max_row,COLUMN())))</f>
        <v>0</v>
      </c>
      <c r="W19" s="12" cm="1">
        <f t="array" aca="1" ref="W19" ca="1">SUM(INDIRECT(ADDRESS(income_min_row,COLUMN())&amp;":"&amp;ADDRESS(income_max_row,COLUMN())))</f>
        <v>0</v>
      </c>
      <c r="X19" s="12" cm="1">
        <f t="array" aca="1" ref="X19" ca="1">SUM(INDIRECT(ADDRESS(income_min_row,COLUMN())&amp;":"&amp;ADDRESS(income_max_row,COLUMN())))</f>
        <v>0</v>
      </c>
      <c r="Y19" s="12" cm="1">
        <f t="array" aca="1" ref="Y19" ca="1">SUM(INDIRECT(ADDRESS(income_min_row,COLUMN())&amp;":"&amp;ADDRESS(income_max_row,COLUMN())))</f>
        <v>0</v>
      </c>
      <c r="Z19" s="12" cm="1">
        <f t="array" aca="1" ref="Z19" ca="1">SUM(INDIRECT(ADDRESS(income_min_row,COLUMN())&amp;":"&amp;ADDRESS(income_max_row,COLUMN())))</f>
        <v>0</v>
      </c>
      <c r="AA19" s="12" cm="1">
        <f t="array" aca="1" ref="AA19" ca="1">SUM(INDIRECT(ADDRESS(income_min_row,COLUMN())&amp;":"&amp;ADDRESS(income_max_row,COLUMN())))</f>
        <v>0</v>
      </c>
      <c r="AB19" s="12" cm="1">
        <f t="array" aca="1" ref="AB19" ca="1">SUM(INDIRECT(ADDRESS(income_min_row,COLUMN())&amp;":"&amp;ADDRESS(income_max_row,COLUMN())))</f>
        <v>0</v>
      </c>
      <c r="AC19" s="12" cm="1">
        <f t="array" aca="1" ref="AC19" ca="1">SUM(INDIRECT(ADDRESS(income_min_row,COLUMN())&amp;":"&amp;ADDRESS(income_max_row,COLUMN())))</f>
        <v>0</v>
      </c>
      <c r="AD19" s="12" cm="1">
        <f t="array" aca="1" ref="AD19" ca="1">SUM(INDIRECT(ADDRESS(income_min_row,COLUMN())&amp;":"&amp;ADDRESS(income_max_row,COLUMN())))</f>
        <v>0</v>
      </c>
      <c r="AE19" s="15" cm="1">
        <f t="array" aca="1" ref="AE19" ca="1">SUM(INDIRECT(ADDRESS(income_min_row,COLUMN())&amp;":"&amp;ADDRESS(income_max_row,COLUMN())))</f>
        <v>0</v>
      </c>
      <c r="AG19" s="12" cm="1">
        <f t="array" aca="1" ref="AG19" ca="1">SUM(INDIRECT(ADDRESS(income_min_row,COLUMN())&amp;":"&amp;ADDRESS(income_max_row,COLUMN())))</f>
        <v>0</v>
      </c>
      <c r="AH19" s="12" cm="1">
        <f t="array" aca="1" ref="AH19" ca="1">SUM(INDIRECT(ADDRESS(income_min_row,COLUMN())&amp;":"&amp;ADDRESS(income_max_row,COLUMN())))</f>
        <v>0</v>
      </c>
      <c r="AI19" s="12" cm="1">
        <f t="array" aca="1" ref="AI19" ca="1">SUM(INDIRECT(ADDRESS(income_min_row,COLUMN())&amp;":"&amp;ADDRESS(income_max_row,COLUMN())))</f>
        <v>0</v>
      </c>
      <c r="AJ19" s="12" cm="1">
        <f t="array" aca="1" ref="AJ19" ca="1">SUM(INDIRECT(ADDRESS(income_min_row,COLUMN())&amp;":"&amp;ADDRESS(income_max_row,COLUMN())))</f>
        <v>0</v>
      </c>
      <c r="AK19" s="12" cm="1">
        <f t="array" aca="1" ref="AK19" ca="1">SUM(INDIRECT(ADDRESS(income_min_row,COLUMN())&amp;":"&amp;ADDRESS(income_max_row,COLUMN())))</f>
        <v>0</v>
      </c>
      <c r="AL19" s="12" cm="1">
        <f t="array" aca="1" ref="AL19" ca="1">SUM(INDIRECT(ADDRESS(income_min_row,COLUMN())&amp;":"&amp;ADDRESS(income_max_row,COLUMN())))</f>
        <v>0</v>
      </c>
      <c r="AM19" s="12" cm="1">
        <f t="array" aca="1" ref="AM19" ca="1">SUM(INDIRECT(ADDRESS(income_min_row,COLUMN())&amp;":"&amp;ADDRESS(income_max_row,COLUMN())))</f>
        <v>0</v>
      </c>
      <c r="AN19" s="12" cm="1">
        <f t="array" aca="1" ref="AN19" ca="1">SUM(INDIRECT(ADDRESS(income_min_row,COLUMN())&amp;":"&amp;ADDRESS(income_max_row,COLUMN())))</f>
        <v>0</v>
      </c>
      <c r="AO19" s="12" cm="1">
        <f t="array" aca="1" ref="AO19" ca="1">SUM(INDIRECT(ADDRESS(income_min_row,COLUMN())&amp;":"&amp;ADDRESS(income_max_row,COLUMN())))</f>
        <v>0</v>
      </c>
      <c r="AP19" s="12" cm="1">
        <f t="array" aca="1" ref="AP19" ca="1">SUM(INDIRECT(ADDRESS(income_min_row,COLUMN())&amp;":"&amp;ADDRESS(income_max_row,COLUMN())))</f>
        <v>0</v>
      </c>
      <c r="AQ19" s="12" cm="1">
        <f t="array" aca="1" ref="AQ19" ca="1">SUM(INDIRECT(ADDRESS(income_min_row,COLUMN())&amp;":"&amp;ADDRESS(income_max_row,COLUMN())))</f>
        <v>0</v>
      </c>
      <c r="AR19" s="12" cm="1">
        <f t="array" aca="1" ref="AR19" ca="1">SUM(INDIRECT(ADDRESS(income_min_row,COLUMN())&amp;":"&amp;ADDRESS(income_max_row,COLUMN())))</f>
        <v>0</v>
      </c>
      <c r="AS19" s="15" cm="1">
        <f t="array" aca="1" ref="AS19" ca="1">SUM(INDIRECT(ADDRESS(income_min_row,COLUMN())&amp;":"&amp;ADDRESS(income_max_row,COLUMN())))</f>
        <v>0</v>
      </c>
      <c r="AU19" s="12" cm="1">
        <f t="array" aca="1" ref="AU19" ca="1">SUM(INDIRECT(ADDRESS(income_min_row,COLUMN())&amp;":"&amp;ADDRESS(income_max_row,COLUMN())))</f>
        <v>0</v>
      </c>
      <c r="AV19" s="12" cm="1">
        <f t="array" aca="1" ref="AV19" ca="1">SUM(INDIRECT(ADDRESS(income_min_row,COLUMN())&amp;":"&amp;ADDRESS(income_max_row,COLUMN())))</f>
        <v>0</v>
      </c>
      <c r="AW19" s="12" cm="1">
        <f t="array" aca="1" ref="AW19" ca="1">SUM(INDIRECT(ADDRESS(income_min_row,COLUMN())&amp;":"&amp;ADDRESS(income_max_row,COLUMN())))</f>
        <v>0</v>
      </c>
      <c r="AX19" s="12" cm="1">
        <f t="array" aca="1" ref="AX19" ca="1">SUM(INDIRECT(ADDRESS(income_min_row,COLUMN())&amp;":"&amp;ADDRESS(income_max_row,COLUMN())))</f>
        <v>0</v>
      </c>
      <c r="AY19" s="12" cm="1">
        <f t="array" aca="1" ref="AY19" ca="1">SUM(INDIRECT(ADDRESS(income_min_row,COLUMN())&amp;":"&amp;ADDRESS(income_max_row,COLUMN())))</f>
        <v>0</v>
      </c>
      <c r="AZ19" s="12" cm="1">
        <f t="array" aca="1" ref="AZ19" ca="1">SUM(INDIRECT(ADDRESS(income_min_row,COLUMN())&amp;":"&amp;ADDRESS(income_max_row,COLUMN())))</f>
        <v>0</v>
      </c>
      <c r="BA19" s="12" cm="1">
        <f t="array" aca="1" ref="BA19" ca="1">SUM(INDIRECT(ADDRESS(income_min_row,COLUMN())&amp;":"&amp;ADDRESS(income_max_row,COLUMN())))</f>
        <v>0</v>
      </c>
      <c r="BB19" s="12" cm="1">
        <f t="array" aca="1" ref="BB19" ca="1">SUM(INDIRECT(ADDRESS(income_min_row,COLUMN())&amp;":"&amp;ADDRESS(income_max_row,COLUMN())))</f>
        <v>0</v>
      </c>
      <c r="BC19" s="12" cm="1">
        <f t="array" aca="1" ref="BC19" ca="1">SUM(INDIRECT(ADDRESS(income_min_row,COLUMN())&amp;":"&amp;ADDRESS(income_max_row,COLUMN())))</f>
        <v>0</v>
      </c>
      <c r="BD19" s="12" cm="1">
        <f t="array" aca="1" ref="BD19" ca="1">SUM(INDIRECT(ADDRESS(income_min_row,COLUMN())&amp;":"&amp;ADDRESS(income_max_row,COLUMN())))</f>
        <v>0</v>
      </c>
      <c r="BE19" s="12" cm="1">
        <f t="array" aca="1" ref="BE19" ca="1">SUM(INDIRECT(ADDRESS(income_min_row,COLUMN())&amp;":"&amp;ADDRESS(income_max_row,COLUMN())))</f>
        <v>0</v>
      </c>
      <c r="BF19" s="12" cm="1">
        <f t="array" aca="1" ref="BF19" ca="1">SUM(INDIRECT(ADDRESS(income_min_row,COLUMN())&amp;":"&amp;ADDRESS(income_max_row,COLUMN())))</f>
        <v>0</v>
      </c>
      <c r="BG19" s="15" cm="1">
        <f t="array" aca="1" ref="BG19" ca="1">SUM(INDIRECT(ADDRESS(income_min_row,COLUMN())&amp;":"&amp;ADDRESS(income_max_row,COLUMN())))</f>
        <v>0</v>
      </c>
      <c r="BI19" s="12" cm="1">
        <f t="array" aca="1" ref="BI19" ca="1">SUM(INDIRECT(ADDRESS(income_min_row,COLUMN())&amp;":"&amp;ADDRESS(income_max_row,COLUMN())))</f>
        <v>0</v>
      </c>
      <c r="BJ19" s="12" cm="1">
        <f t="array" aca="1" ref="BJ19" ca="1">SUM(INDIRECT(ADDRESS(income_min_row,COLUMN())&amp;":"&amp;ADDRESS(income_max_row,COLUMN())))</f>
        <v>0</v>
      </c>
      <c r="BK19" s="12" cm="1">
        <f t="array" aca="1" ref="BK19" ca="1">SUM(INDIRECT(ADDRESS(income_min_row,COLUMN())&amp;":"&amp;ADDRESS(income_max_row,COLUMN())))</f>
        <v>0</v>
      </c>
      <c r="BL19" s="12" cm="1">
        <f t="array" aca="1" ref="BL19" ca="1">SUM(INDIRECT(ADDRESS(income_min_row,COLUMN())&amp;":"&amp;ADDRESS(income_max_row,COLUMN())))</f>
        <v>0</v>
      </c>
      <c r="BM19" s="12" cm="1">
        <f t="array" aca="1" ref="BM19" ca="1">SUM(INDIRECT(ADDRESS(income_min_row,COLUMN())&amp;":"&amp;ADDRESS(income_max_row,COLUMN())))</f>
        <v>0</v>
      </c>
      <c r="BN19" s="12" cm="1">
        <f t="array" aca="1" ref="BN19" ca="1">SUM(INDIRECT(ADDRESS(income_min_row,COLUMN())&amp;":"&amp;ADDRESS(income_max_row,COLUMN())))</f>
        <v>0</v>
      </c>
      <c r="BO19" s="12" cm="1">
        <f t="array" aca="1" ref="BO19" ca="1">SUM(INDIRECT(ADDRESS(income_min_row,COLUMN())&amp;":"&amp;ADDRESS(income_max_row,COLUMN())))</f>
        <v>0</v>
      </c>
      <c r="BP19" s="12" cm="1">
        <f t="array" aca="1" ref="BP19" ca="1">SUM(INDIRECT(ADDRESS(income_min_row,COLUMN())&amp;":"&amp;ADDRESS(income_max_row,COLUMN())))</f>
        <v>0</v>
      </c>
      <c r="BQ19" s="12" cm="1">
        <f t="array" aca="1" ref="BQ19" ca="1">SUM(INDIRECT(ADDRESS(income_min_row,COLUMN())&amp;":"&amp;ADDRESS(income_max_row,COLUMN())))</f>
        <v>0</v>
      </c>
      <c r="BR19" s="12" cm="1">
        <f t="array" aca="1" ref="BR19" ca="1">SUM(INDIRECT(ADDRESS(income_min_row,COLUMN())&amp;":"&amp;ADDRESS(income_max_row,COLUMN())))</f>
        <v>0</v>
      </c>
      <c r="BS19" s="12" cm="1">
        <f t="array" aca="1" ref="BS19" ca="1">SUM(INDIRECT(ADDRESS(income_min_row,COLUMN())&amp;":"&amp;ADDRESS(income_max_row,COLUMN())))</f>
        <v>0</v>
      </c>
      <c r="BT19" s="12" cm="1">
        <f t="array" aca="1" ref="BT19" ca="1">SUM(INDIRECT(ADDRESS(income_min_row,COLUMN())&amp;":"&amp;ADDRESS(income_max_row,COLUMN())))</f>
        <v>0</v>
      </c>
      <c r="BU19" s="15" cm="1">
        <f t="array" aca="1" ref="BU19" ca="1">SUM(INDIRECT(ADDRESS(income_min_row,COLUMN())&amp;":"&amp;ADDRESS(income_max_row,COLUMN())))</f>
        <v>0</v>
      </c>
    </row>
    <row r="21" spans="3:74" x14ac:dyDescent="0.2">
      <c r="C21" s="92" t="s">
        <v>19</v>
      </c>
      <c r="E21" s="18">
        <f>DATE(E$5,1,1)</f>
        <v>46023</v>
      </c>
      <c r="F21" s="18">
        <f>DATE(E$5,2,1)</f>
        <v>46054</v>
      </c>
      <c r="G21" s="18">
        <f>DATE(E$5,3,1)</f>
        <v>46082</v>
      </c>
      <c r="H21" s="18">
        <f>DATE(E$5,4,1)</f>
        <v>46113</v>
      </c>
      <c r="I21" s="18">
        <f>DATE(E$5,5,1)</f>
        <v>46143</v>
      </c>
      <c r="J21" s="18">
        <f>DATE(E$5,6,1)</f>
        <v>46174</v>
      </c>
      <c r="K21" s="18">
        <f>DATE(E$5,7,1)</f>
        <v>46204</v>
      </c>
      <c r="L21" s="18">
        <f>DATE(E$5,8,1)</f>
        <v>46235</v>
      </c>
      <c r="M21" s="18">
        <f>DATE(E$5,9,1)</f>
        <v>46266</v>
      </c>
      <c r="N21" s="18">
        <f>DATE(E$5,10,1)</f>
        <v>46296</v>
      </c>
      <c r="O21" s="18">
        <f>DATE(E$5,11,1)</f>
        <v>46327</v>
      </c>
      <c r="P21" s="18">
        <f>DATE(E$5,12,1)</f>
        <v>46357</v>
      </c>
      <c r="Q21" s="19">
        <f>E$5</f>
        <v>2026</v>
      </c>
      <c r="S21" s="18">
        <f>DATE(S$5,1,1)</f>
        <v>46388</v>
      </c>
      <c r="T21" s="18">
        <f>DATE(S$5,2,1)</f>
        <v>46419</v>
      </c>
      <c r="U21" s="18">
        <f>DATE(S$5,3,1)</f>
        <v>46447</v>
      </c>
      <c r="V21" s="18">
        <f>DATE(S$5,4,1)</f>
        <v>46478</v>
      </c>
      <c r="W21" s="18">
        <f>DATE(S$5,5,1)</f>
        <v>46508</v>
      </c>
      <c r="X21" s="18">
        <f>DATE(S$5,6,1)</f>
        <v>46539</v>
      </c>
      <c r="Y21" s="18">
        <f>DATE(S$5,7,1)</f>
        <v>46569</v>
      </c>
      <c r="Z21" s="18">
        <f>DATE(S$5,8,1)</f>
        <v>46600</v>
      </c>
      <c r="AA21" s="18">
        <f>DATE(S$5,9,1)</f>
        <v>46631</v>
      </c>
      <c r="AB21" s="18">
        <f>DATE(S$5,10,1)</f>
        <v>46661</v>
      </c>
      <c r="AC21" s="18">
        <f>DATE(S$5,11,1)</f>
        <v>46692</v>
      </c>
      <c r="AD21" s="18">
        <f>DATE(S$5,12,1)</f>
        <v>46722</v>
      </c>
      <c r="AE21" s="19">
        <f>S$5</f>
        <v>2027</v>
      </c>
      <c r="AG21" s="18">
        <f>DATE(AG$5,1,1)</f>
        <v>46753</v>
      </c>
      <c r="AH21" s="18">
        <f>DATE(AG$5,2,1)</f>
        <v>46784</v>
      </c>
      <c r="AI21" s="18">
        <f>DATE(AG$5,3,1)</f>
        <v>46813</v>
      </c>
      <c r="AJ21" s="18">
        <f>DATE(AG$5,4,1)</f>
        <v>46844</v>
      </c>
      <c r="AK21" s="18">
        <f>DATE(AG$5,5,1)</f>
        <v>46874</v>
      </c>
      <c r="AL21" s="18">
        <f>DATE(AG$5,6,1)</f>
        <v>46905</v>
      </c>
      <c r="AM21" s="18">
        <f>DATE(AG$5,7,1)</f>
        <v>46935</v>
      </c>
      <c r="AN21" s="18">
        <f>DATE(AG$5,8,1)</f>
        <v>46966</v>
      </c>
      <c r="AO21" s="18">
        <f>DATE(AG$5,9,1)</f>
        <v>46997</v>
      </c>
      <c r="AP21" s="18">
        <f>DATE(AG$5,10,1)</f>
        <v>47027</v>
      </c>
      <c r="AQ21" s="18">
        <f>DATE(AG$5,11,1)</f>
        <v>47058</v>
      </c>
      <c r="AR21" s="18">
        <f>DATE(AG$5,12,1)</f>
        <v>47088</v>
      </c>
      <c r="AS21" s="19">
        <f>AG$5</f>
        <v>2028</v>
      </c>
      <c r="AU21" s="18">
        <f>DATE(AU$5,1,1)</f>
        <v>47119</v>
      </c>
      <c r="AV21" s="18">
        <f>DATE(AU$5,2,1)</f>
        <v>47150</v>
      </c>
      <c r="AW21" s="18">
        <f>DATE(AU$5,3,1)</f>
        <v>47178</v>
      </c>
      <c r="AX21" s="18">
        <f>DATE(AU$5,4,1)</f>
        <v>47209</v>
      </c>
      <c r="AY21" s="18">
        <f>DATE(AU$5,5,1)</f>
        <v>47239</v>
      </c>
      <c r="AZ21" s="18">
        <f>DATE(AU$5,6,1)</f>
        <v>47270</v>
      </c>
      <c r="BA21" s="18">
        <f>DATE(AU$5,7,1)</f>
        <v>47300</v>
      </c>
      <c r="BB21" s="18">
        <f>DATE(AU$5,8,1)</f>
        <v>47331</v>
      </c>
      <c r="BC21" s="18">
        <f>DATE(AU$5,9,1)</f>
        <v>47362</v>
      </c>
      <c r="BD21" s="18">
        <f>DATE(AU$5,10,1)</f>
        <v>47392</v>
      </c>
      <c r="BE21" s="18">
        <f>DATE(AU$5,11,1)</f>
        <v>47423</v>
      </c>
      <c r="BF21" s="18">
        <f>DATE(AU$5,12,1)</f>
        <v>47453</v>
      </c>
      <c r="BG21" s="19">
        <f>AU$5</f>
        <v>2029</v>
      </c>
      <c r="BI21" s="18">
        <f>DATE(BI$5,1,1)</f>
        <v>47484</v>
      </c>
      <c r="BJ21" s="18">
        <f>DATE(BI$5,2,1)</f>
        <v>47515</v>
      </c>
      <c r="BK21" s="18">
        <f>DATE(BI$5,3,1)</f>
        <v>47543</v>
      </c>
      <c r="BL21" s="18">
        <f>DATE(BI$5,4,1)</f>
        <v>47574</v>
      </c>
      <c r="BM21" s="18">
        <f>DATE(BI$5,5,1)</f>
        <v>47604</v>
      </c>
      <c r="BN21" s="18">
        <f>DATE(BI$5,6,1)</f>
        <v>47635</v>
      </c>
      <c r="BO21" s="18">
        <f>DATE(BI$5,7,1)</f>
        <v>47665</v>
      </c>
      <c r="BP21" s="18">
        <f>DATE(BI$5,8,1)</f>
        <v>47696</v>
      </c>
      <c r="BQ21" s="18">
        <f>DATE(BI$5,9,1)</f>
        <v>47727</v>
      </c>
      <c r="BR21" s="18">
        <f>DATE(BI$5,10,1)</f>
        <v>47757</v>
      </c>
      <c r="BS21" s="18">
        <f>DATE(BI$5,11,1)</f>
        <v>47788</v>
      </c>
      <c r="BT21" s="18">
        <f>DATE(BI$5,12,1)</f>
        <v>47818</v>
      </c>
      <c r="BU21" s="19">
        <f>BI$5</f>
        <v>2030</v>
      </c>
    </row>
    <row r="22" spans="3:74" x14ac:dyDescent="0.2">
      <c r="C22" s="13" t="s">
        <v>20</v>
      </c>
      <c r="E22" s="74">
        <v>0</v>
      </c>
      <c r="F22" s="74">
        <v>0</v>
      </c>
      <c r="G22" s="74">
        <v>0</v>
      </c>
      <c r="H22" s="74"/>
      <c r="I22" s="14">
        <v>0</v>
      </c>
      <c r="J22" s="14">
        <v>0</v>
      </c>
      <c r="K22" s="14">
        <v>0</v>
      </c>
      <c r="L22" s="14">
        <v>0</v>
      </c>
      <c r="M22" s="14">
        <v>0</v>
      </c>
      <c r="N22" s="14">
        <v>0</v>
      </c>
      <c r="O22" s="14">
        <v>0</v>
      </c>
      <c r="P22" s="14">
        <v>0</v>
      </c>
      <c r="Q22" s="16">
        <f>SUM(F22:P22)</f>
        <v>0</v>
      </c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>
        <f>SUM(S22:AD22)</f>
        <v>0</v>
      </c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6">
        <f>SUM(AG22:AR22)</f>
        <v>0</v>
      </c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6">
        <f>SUM(AU22:BF22)</f>
        <v>0</v>
      </c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6">
        <f>SUM(BI22:BT22)</f>
        <v>0</v>
      </c>
      <c r="BV22" s="111"/>
    </row>
    <row r="23" spans="3:74" x14ac:dyDescent="0.2">
      <c r="C23" s="13" t="s">
        <v>21</v>
      </c>
      <c r="E23" s="74">
        <v>0</v>
      </c>
      <c r="F23" s="74">
        <v>0</v>
      </c>
      <c r="G23" s="74">
        <v>0</v>
      </c>
      <c r="H23" s="14"/>
      <c r="I23" s="14"/>
      <c r="J23" s="14"/>
      <c r="K23" s="14"/>
      <c r="L23" s="14"/>
      <c r="M23" s="14"/>
      <c r="N23" s="14"/>
      <c r="O23" s="14"/>
      <c r="P23" s="14"/>
      <c r="Q23" s="16">
        <f>SUM(E23:P23)</f>
        <v>0</v>
      </c>
      <c r="S23" s="15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>
        <f>SUM(S23:AD23)</f>
        <v>0</v>
      </c>
      <c r="AG23" s="15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6">
        <f>SUM(AG23:AR23)</f>
        <v>0</v>
      </c>
      <c r="AU23" s="15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6">
        <f>SUM(AU23:BF23)</f>
        <v>0</v>
      </c>
      <c r="BI23" s="15"/>
      <c r="BJ23" s="14"/>
      <c r="BK23" s="14"/>
      <c r="BL23" s="14"/>
      <c r="BM23" s="14"/>
      <c r="BN23" s="14"/>
      <c r="BO23" s="14"/>
      <c r="BP23" s="14"/>
      <c r="BQ23" s="14"/>
      <c r="BR23" s="14"/>
      <c r="BS23" s="14"/>
      <c r="BT23" s="14"/>
      <c r="BU23" s="16">
        <f>SUM(BI23:BT23)</f>
        <v>0</v>
      </c>
    </row>
    <row r="24" spans="3:74" x14ac:dyDescent="0.2">
      <c r="C24" s="13" t="s">
        <v>22</v>
      </c>
      <c r="E24" s="15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6"/>
      <c r="S24" s="15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G24" s="15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6"/>
      <c r="AU24" s="15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6"/>
      <c r="BI24" s="15"/>
      <c r="BJ24" s="14"/>
      <c r="BK24" s="14"/>
      <c r="BL24" s="14"/>
      <c r="BM24" s="14"/>
      <c r="BN24" s="14"/>
      <c r="BO24" s="14"/>
      <c r="BP24" s="14"/>
      <c r="BQ24" s="14"/>
      <c r="BR24" s="14"/>
      <c r="BS24" s="14"/>
      <c r="BT24" s="14"/>
      <c r="BU24" s="16"/>
    </row>
    <row r="25" spans="3:74" x14ac:dyDescent="0.2">
      <c r="C25" s="17" t="s">
        <v>107</v>
      </c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6">
        <f>SUM(E25:P25)</f>
        <v>0</v>
      </c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>
        <f t="shared" ref="AE25:AE40" si="10">SUM(S25:AD25)</f>
        <v>0</v>
      </c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6">
        <f t="shared" ref="AS25:AS40" si="11">SUM(AG25:AR25)</f>
        <v>0</v>
      </c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6">
        <f t="shared" ref="BG25:BG40" si="12">SUM(AU25:BF25)</f>
        <v>0</v>
      </c>
      <c r="BI25" s="14"/>
      <c r="BJ25" s="14"/>
      <c r="BK25" s="14"/>
      <c r="BL25" s="14"/>
      <c r="BM25" s="14"/>
      <c r="BN25" s="14"/>
      <c r="BO25" s="14"/>
      <c r="BP25" s="14"/>
      <c r="BQ25" s="14"/>
      <c r="BR25" s="14"/>
      <c r="BS25" s="14"/>
      <c r="BT25" s="14"/>
      <c r="BU25" s="16">
        <f t="shared" ref="BU25:BU40" si="13">SUM(BI25:BT25)</f>
        <v>0</v>
      </c>
    </row>
    <row r="26" spans="3:74" x14ac:dyDescent="0.2">
      <c r="C26" s="17" t="s">
        <v>108</v>
      </c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6">
        <f t="shared" ref="Q26:Q40" si="14">SUM(E26:P26)</f>
        <v>0</v>
      </c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>
        <f t="shared" si="10"/>
        <v>0</v>
      </c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6">
        <f t="shared" si="11"/>
        <v>0</v>
      </c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6">
        <f t="shared" si="12"/>
        <v>0</v>
      </c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6">
        <f t="shared" si="13"/>
        <v>0</v>
      </c>
    </row>
    <row r="27" spans="3:74" x14ac:dyDescent="0.2">
      <c r="C27" s="17" t="s">
        <v>109</v>
      </c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6">
        <f t="shared" si="14"/>
        <v>0</v>
      </c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>
        <f t="shared" si="10"/>
        <v>0</v>
      </c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6">
        <f t="shared" si="11"/>
        <v>0</v>
      </c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6">
        <f t="shared" si="12"/>
        <v>0</v>
      </c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6">
        <f t="shared" si="13"/>
        <v>0</v>
      </c>
    </row>
    <row r="28" spans="3:74" x14ac:dyDescent="0.2">
      <c r="C28" s="17" t="s">
        <v>110</v>
      </c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6">
        <f t="shared" si="14"/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>
        <f t="shared" si="10"/>
        <v>0</v>
      </c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6">
        <f t="shared" si="11"/>
        <v>0</v>
      </c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6">
        <f t="shared" si="12"/>
        <v>0</v>
      </c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6">
        <f t="shared" si="13"/>
        <v>0</v>
      </c>
    </row>
    <row r="29" spans="3:74" x14ac:dyDescent="0.2">
      <c r="C29" s="13" t="s">
        <v>23</v>
      </c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6">
        <f t="shared" si="14"/>
        <v>0</v>
      </c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>
        <f t="shared" si="10"/>
        <v>0</v>
      </c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6">
        <f t="shared" si="11"/>
        <v>0</v>
      </c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6">
        <f t="shared" si="12"/>
        <v>0</v>
      </c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6">
        <f t="shared" si="13"/>
        <v>0</v>
      </c>
    </row>
    <row r="30" spans="3:74" x14ac:dyDescent="0.2">
      <c r="C30" s="13" t="s">
        <v>111</v>
      </c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6">
        <f t="shared" si="14"/>
        <v>0</v>
      </c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>
        <f t="shared" si="10"/>
        <v>0</v>
      </c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6">
        <f t="shared" si="11"/>
        <v>0</v>
      </c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6">
        <f t="shared" si="12"/>
        <v>0</v>
      </c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6">
        <f t="shared" si="13"/>
        <v>0</v>
      </c>
    </row>
    <row r="31" spans="3:74" x14ac:dyDescent="0.2">
      <c r="C31" s="13" t="s">
        <v>24</v>
      </c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6">
        <f t="shared" si="14"/>
        <v>0</v>
      </c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>
        <f t="shared" si="10"/>
        <v>0</v>
      </c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6">
        <f t="shared" si="11"/>
        <v>0</v>
      </c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6">
        <f t="shared" si="12"/>
        <v>0</v>
      </c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6">
        <f t="shared" si="13"/>
        <v>0</v>
      </c>
    </row>
    <row r="32" spans="3:74" x14ac:dyDescent="0.2">
      <c r="C32" s="13" t="s">
        <v>25</v>
      </c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6">
        <f t="shared" si="14"/>
        <v>0</v>
      </c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>
        <f t="shared" si="10"/>
        <v>0</v>
      </c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6">
        <f t="shared" si="11"/>
        <v>0</v>
      </c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6">
        <f t="shared" si="12"/>
        <v>0</v>
      </c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6">
        <f t="shared" si="13"/>
        <v>0</v>
      </c>
    </row>
    <row r="33" spans="3:73" x14ac:dyDescent="0.2">
      <c r="C33" s="13" t="s">
        <v>113</v>
      </c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6">
        <f t="shared" si="14"/>
        <v>0</v>
      </c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>
        <f t="shared" si="10"/>
        <v>0</v>
      </c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6">
        <f t="shared" si="11"/>
        <v>0</v>
      </c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6">
        <f t="shared" si="12"/>
        <v>0</v>
      </c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6">
        <f t="shared" si="13"/>
        <v>0</v>
      </c>
    </row>
    <row r="34" spans="3:73" x14ac:dyDescent="0.2">
      <c r="C34" s="13" t="s">
        <v>112</v>
      </c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6">
        <f t="shared" si="14"/>
        <v>0</v>
      </c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>
        <f t="shared" si="10"/>
        <v>0</v>
      </c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6">
        <f t="shared" si="11"/>
        <v>0</v>
      </c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6">
        <f t="shared" si="12"/>
        <v>0</v>
      </c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6">
        <f t="shared" si="13"/>
        <v>0</v>
      </c>
    </row>
    <row r="35" spans="3:73" x14ac:dyDescent="0.2">
      <c r="C35" s="13" t="s">
        <v>26</v>
      </c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6">
        <f t="shared" si="14"/>
        <v>0</v>
      </c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>
        <f t="shared" si="10"/>
        <v>0</v>
      </c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6">
        <f t="shared" si="11"/>
        <v>0</v>
      </c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6">
        <f t="shared" si="12"/>
        <v>0</v>
      </c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6">
        <f t="shared" si="13"/>
        <v>0</v>
      </c>
    </row>
    <row r="36" spans="3:73" x14ac:dyDescent="0.2">
      <c r="C36" s="13" t="s">
        <v>114</v>
      </c>
      <c r="E36" s="15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6"/>
      <c r="S36" s="15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G36" s="15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6"/>
      <c r="AU36" s="15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6"/>
      <c r="BI36" s="15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6"/>
    </row>
    <row r="37" spans="3:73" x14ac:dyDescent="0.2">
      <c r="C37" s="13" t="s">
        <v>115</v>
      </c>
      <c r="E37" s="12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6">
        <f>SUM(E37:P37)</f>
        <v>0</v>
      </c>
      <c r="S37" s="15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>
        <f>SUM(S37:AD37)</f>
        <v>0</v>
      </c>
      <c r="AG37" s="15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6">
        <f>SUM(AG37:AR37)</f>
        <v>0</v>
      </c>
      <c r="AU37" s="15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6">
        <f>SUM(AU37:BF37)</f>
        <v>0</v>
      </c>
      <c r="BI37" s="15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6">
        <f>SUM(BI37:BT37)</f>
        <v>0</v>
      </c>
    </row>
    <row r="38" spans="3:73" x14ac:dyDescent="0.2">
      <c r="C38" s="13" t="s">
        <v>116</v>
      </c>
      <c r="E38" s="12"/>
      <c r="F38" s="12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6">
        <f>SUM(E38:P38)</f>
        <v>0</v>
      </c>
      <c r="S38" s="15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>
        <f>SUM(S38:AD38)</f>
        <v>0</v>
      </c>
      <c r="AG38" s="15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6">
        <f>SUM(AG38:AR38)</f>
        <v>0</v>
      </c>
      <c r="AU38" s="15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6">
        <f>SUM(AU38:BF38)</f>
        <v>0</v>
      </c>
      <c r="BI38" s="15"/>
      <c r="BJ38" s="14"/>
      <c r="BK38" s="14"/>
      <c r="BL38" s="14"/>
      <c r="BM38" s="14"/>
      <c r="BN38" s="14"/>
      <c r="BO38" s="14"/>
      <c r="BP38" s="14"/>
      <c r="BQ38" s="14"/>
      <c r="BR38" s="14"/>
      <c r="BS38" s="14"/>
      <c r="BT38" s="14"/>
      <c r="BU38" s="16">
        <f>SUM(BI38:BT38)</f>
        <v>0</v>
      </c>
    </row>
    <row r="39" spans="3:73" x14ac:dyDescent="0.2">
      <c r="C39" s="13" t="s">
        <v>117</v>
      </c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6">
        <f>SUM(E39:P39)</f>
        <v>0</v>
      </c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>
        <f>SUM(S39:AD39)</f>
        <v>0</v>
      </c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6">
        <f>SUM(AG39:AR39)</f>
        <v>0</v>
      </c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6">
        <f>SUM(AU39:BF39)</f>
        <v>0</v>
      </c>
      <c r="BI39" s="14"/>
      <c r="BJ39" s="14"/>
      <c r="BK39" s="14"/>
      <c r="BL39" s="14"/>
      <c r="BM39" s="14"/>
      <c r="BN39" s="14"/>
      <c r="BO39" s="14"/>
      <c r="BP39" s="14"/>
      <c r="BQ39" s="14"/>
      <c r="BR39" s="14"/>
      <c r="BS39" s="14"/>
      <c r="BT39" s="14"/>
      <c r="BU39" s="16">
        <f>SUM(BI39:BT39)</f>
        <v>0</v>
      </c>
    </row>
    <row r="40" spans="3:73" x14ac:dyDescent="0.2">
      <c r="C40" s="9" t="s">
        <v>18</v>
      </c>
      <c r="E40" s="12" cm="1">
        <f t="array" aca="1" ref="E40" ca="1">SUM(INDIRECT(ADDRESS(expenses_min_row,COLUMN())&amp;":"&amp;ADDRESS(expenses_max_row,COLUMN())))</f>
        <v>0</v>
      </c>
      <c r="F40" s="12" cm="1">
        <f t="array" aca="1" ref="F40" ca="1">SUM(INDIRECT(ADDRESS(expenses_min_row,COLUMN())&amp;":"&amp;ADDRESS(expenses_max_row,COLUMN())))</f>
        <v>0</v>
      </c>
      <c r="G40" s="12" cm="1">
        <f t="array" aca="1" ref="G40" ca="1">SUM(INDIRECT(ADDRESS(expenses_min_row,COLUMN())&amp;":"&amp;ADDRESS(expenses_max_row,COLUMN())))</f>
        <v>0</v>
      </c>
      <c r="H40" s="12" cm="1">
        <f t="array" aca="1" ref="H40" ca="1">SUM(INDIRECT(ADDRESS(expenses_min_row,COLUMN())&amp;":"&amp;ADDRESS(expenses_max_row,COLUMN())))</f>
        <v>0</v>
      </c>
      <c r="I40" s="12" cm="1">
        <f t="array" aca="1" ref="I40" ca="1">SUM(INDIRECT(ADDRESS(expenses_min_row,COLUMN())&amp;":"&amp;ADDRESS(expenses_max_row,COLUMN())))</f>
        <v>0</v>
      </c>
      <c r="J40" s="12" cm="1">
        <f t="array" aca="1" ref="J40" ca="1">SUM(INDIRECT(ADDRESS(expenses_min_row,COLUMN())&amp;":"&amp;ADDRESS(expenses_max_row,COLUMN())))</f>
        <v>0</v>
      </c>
      <c r="K40" s="12" cm="1">
        <f t="array" aca="1" ref="K40" ca="1">SUM(INDIRECT(ADDRESS(expenses_min_row,COLUMN())&amp;":"&amp;ADDRESS(expenses_max_row,COLUMN())))</f>
        <v>0</v>
      </c>
      <c r="L40" s="12" cm="1">
        <f t="array" aca="1" ref="L40" ca="1">SUM(INDIRECT(ADDRESS(expenses_min_row,COLUMN())&amp;":"&amp;ADDRESS(expenses_max_row,COLUMN())))</f>
        <v>0</v>
      </c>
      <c r="M40" s="12" cm="1">
        <f t="array" aca="1" ref="M40" ca="1">SUM(INDIRECT(ADDRESS(expenses_min_row,COLUMN())&amp;":"&amp;ADDRESS(expenses_max_row,COLUMN())))</f>
        <v>0</v>
      </c>
      <c r="N40" s="12" cm="1">
        <f t="array" aca="1" ref="N40" ca="1">SUM(INDIRECT(ADDRESS(expenses_min_row,COLUMN())&amp;":"&amp;ADDRESS(expenses_max_row,COLUMN())))</f>
        <v>0</v>
      </c>
      <c r="O40" s="12" cm="1">
        <f t="array" aca="1" ref="O40" ca="1">SUM(INDIRECT(ADDRESS(expenses_min_row,COLUMN())&amp;":"&amp;ADDRESS(expenses_max_row,COLUMN())))</f>
        <v>0</v>
      </c>
      <c r="P40" s="12" cm="1">
        <f t="array" aca="1" ref="P40" ca="1">SUM(INDIRECT(ADDRESS(expenses_min_row,COLUMN())&amp;":"&amp;ADDRESS(expenses_max_row,COLUMN())))</f>
        <v>0</v>
      </c>
      <c r="Q40" s="15">
        <f t="shared" ca="1" si="14"/>
        <v>0</v>
      </c>
      <c r="S40" s="12" cm="1">
        <f t="array" aca="1" ref="S40" ca="1">SUM(INDIRECT(ADDRESS(expenses_min_row,COLUMN())&amp;":"&amp;ADDRESS(expenses_max_row,COLUMN())))</f>
        <v>0</v>
      </c>
      <c r="T40" s="12" cm="1">
        <f t="array" aca="1" ref="T40" ca="1">SUM(INDIRECT(ADDRESS(expenses_min_row,COLUMN())&amp;":"&amp;ADDRESS(expenses_max_row,COLUMN())))</f>
        <v>0</v>
      </c>
      <c r="U40" s="12" cm="1">
        <f t="array" aca="1" ref="U40" ca="1">SUM(INDIRECT(ADDRESS(expenses_min_row,COLUMN())&amp;":"&amp;ADDRESS(expenses_max_row,COLUMN())))</f>
        <v>0</v>
      </c>
      <c r="V40" s="12" cm="1">
        <f t="array" aca="1" ref="V40" ca="1">SUM(INDIRECT(ADDRESS(expenses_min_row,COLUMN())&amp;":"&amp;ADDRESS(expenses_max_row,COLUMN())))</f>
        <v>0</v>
      </c>
      <c r="W40" s="12" cm="1">
        <f t="array" aca="1" ref="W40" ca="1">SUM(INDIRECT(ADDRESS(expenses_min_row,COLUMN())&amp;":"&amp;ADDRESS(expenses_max_row,COLUMN())))</f>
        <v>0</v>
      </c>
      <c r="X40" s="12" cm="1">
        <f t="array" aca="1" ref="X40" ca="1">SUM(INDIRECT(ADDRESS(expenses_min_row,COLUMN())&amp;":"&amp;ADDRESS(expenses_max_row,COLUMN())))</f>
        <v>0</v>
      </c>
      <c r="Y40" s="12" cm="1">
        <f t="array" aca="1" ref="Y40" ca="1">SUM(INDIRECT(ADDRESS(expenses_min_row,COLUMN())&amp;":"&amp;ADDRESS(expenses_max_row,COLUMN())))</f>
        <v>0</v>
      </c>
      <c r="Z40" s="12" cm="1">
        <f t="array" aca="1" ref="Z40" ca="1">SUM(INDIRECT(ADDRESS(expenses_min_row,COLUMN())&amp;":"&amp;ADDRESS(expenses_max_row,COLUMN())))</f>
        <v>0</v>
      </c>
      <c r="AA40" s="12" cm="1">
        <f t="array" aca="1" ref="AA40" ca="1">SUM(INDIRECT(ADDRESS(expenses_min_row,COLUMN())&amp;":"&amp;ADDRESS(expenses_max_row,COLUMN())))</f>
        <v>0</v>
      </c>
      <c r="AB40" s="12" cm="1">
        <f t="array" aca="1" ref="AB40" ca="1">SUM(INDIRECT(ADDRESS(expenses_min_row,COLUMN())&amp;":"&amp;ADDRESS(expenses_max_row,COLUMN())))</f>
        <v>0</v>
      </c>
      <c r="AC40" s="12" cm="1">
        <f t="array" aca="1" ref="AC40" ca="1">SUM(INDIRECT(ADDRESS(expenses_min_row,COLUMN())&amp;":"&amp;ADDRESS(expenses_max_row,COLUMN())))</f>
        <v>0</v>
      </c>
      <c r="AD40" s="12" cm="1">
        <f t="array" aca="1" ref="AD40" ca="1">SUM(INDIRECT(ADDRESS(expenses_min_row,COLUMN())&amp;":"&amp;ADDRESS(expenses_max_row,COLUMN())))</f>
        <v>0</v>
      </c>
      <c r="AE40" s="15">
        <f t="shared" ca="1" si="10"/>
        <v>0</v>
      </c>
      <c r="AG40" s="12" cm="1">
        <f t="array" aca="1" ref="AG40" ca="1">SUM(INDIRECT(ADDRESS(expenses_min_row,COLUMN())&amp;":"&amp;ADDRESS(expenses_max_row,COLUMN())))</f>
        <v>0</v>
      </c>
      <c r="AH40" s="12" cm="1">
        <f t="array" aca="1" ref="AH40" ca="1">SUM(INDIRECT(ADDRESS(expenses_min_row,COLUMN())&amp;":"&amp;ADDRESS(expenses_max_row,COLUMN())))</f>
        <v>0</v>
      </c>
      <c r="AI40" s="12" cm="1">
        <f t="array" aca="1" ref="AI40" ca="1">SUM(INDIRECT(ADDRESS(expenses_min_row,COLUMN())&amp;":"&amp;ADDRESS(expenses_max_row,COLUMN())))</f>
        <v>0</v>
      </c>
      <c r="AJ40" s="12" cm="1">
        <f t="array" aca="1" ref="AJ40" ca="1">SUM(INDIRECT(ADDRESS(expenses_min_row,COLUMN())&amp;":"&amp;ADDRESS(expenses_max_row,COLUMN())))</f>
        <v>0</v>
      </c>
      <c r="AK40" s="12" cm="1">
        <f t="array" aca="1" ref="AK40" ca="1">SUM(INDIRECT(ADDRESS(expenses_min_row,COLUMN())&amp;":"&amp;ADDRESS(expenses_max_row,COLUMN())))</f>
        <v>0</v>
      </c>
      <c r="AL40" s="12" cm="1">
        <f t="array" aca="1" ref="AL40" ca="1">SUM(INDIRECT(ADDRESS(expenses_min_row,COLUMN())&amp;":"&amp;ADDRESS(expenses_max_row,COLUMN())))</f>
        <v>0</v>
      </c>
      <c r="AM40" s="12" cm="1">
        <f t="array" aca="1" ref="AM40" ca="1">SUM(INDIRECT(ADDRESS(expenses_min_row,COLUMN())&amp;":"&amp;ADDRESS(expenses_max_row,COLUMN())))</f>
        <v>0</v>
      </c>
      <c r="AN40" s="12" cm="1">
        <f t="array" aca="1" ref="AN40" ca="1">SUM(INDIRECT(ADDRESS(expenses_min_row,COLUMN())&amp;":"&amp;ADDRESS(expenses_max_row,COLUMN())))</f>
        <v>0</v>
      </c>
      <c r="AO40" s="12" cm="1">
        <f t="array" aca="1" ref="AO40" ca="1">SUM(INDIRECT(ADDRESS(expenses_min_row,COLUMN())&amp;":"&amp;ADDRESS(expenses_max_row,COLUMN())))</f>
        <v>0</v>
      </c>
      <c r="AP40" s="12" cm="1">
        <f t="array" aca="1" ref="AP40" ca="1">SUM(INDIRECT(ADDRESS(expenses_min_row,COLUMN())&amp;":"&amp;ADDRESS(expenses_max_row,COLUMN())))</f>
        <v>0</v>
      </c>
      <c r="AQ40" s="12" cm="1">
        <f t="array" aca="1" ref="AQ40" ca="1">SUM(INDIRECT(ADDRESS(expenses_min_row,COLUMN())&amp;":"&amp;ADDRESS(expenses_max_row,COLUMN())))</f>
        <v>0</v>
      </c>
      <c r="AR40" s="12" cm="1">
        <f t="array" aca="1" ref="AR40" ca="1">SUM(INDIRECT(ADDRESS(expenses_min_row,COLUMN())&amp;":"&amp;ADDRESS(expenses_max_row,COLUMN())))</f>
        <v>0</v>
      </c>
      <c r="AS40" s="15">
        <f t="shared" ca="1" si="11"/>
        <v>0</v>
      </c>
      <c r="AU40" s="12" cm="1">
        <f t="array" aca="1" ref="AU40" ca="1">SUM(INDIRECT(ADDRESS(expenses_min_row,COLUMN())&amp;":"&amp;ADDRESS(expenses_max_row,COLUMN())))</f>
        <v>0</v>
      </c>
      <c r="AV40" s="12" cm="1">
        <f t="array" aca="1" ref="AV40" ca="1">SUM(INDIRECT(ADDRESS(expenses_min_row,COLUMN())&amp;":"&amp;ADDRESS(expenses_max_row,COLUMN())))</f>
        <v>0</v>
      </c>
      <c r="AW40" s="12" cm="1">
        <f t="array" aca="1" ref="AW40" ca="1">SUM(INDIRECT(ADDRESS(expenses_min_row,COLUMN())&amp;":"&amp;ADDRESS(expenses_max_row,COLUMN())))</f>
        <v>0</v>
      </c>
      <c r="AX40" s="12" cm="1">
        <f t="array" aca="1" ref="AX40" ca="1">SUM(INDIRECT(ADDRESS(expenses_min_row,COLUMN())&amp;":"&amp;ADDRESS(expenses_max_row,COLUMN())))</f>
        <v>0</v>
      </c>
      <c r="AY40" s="12" cm="1">
        <f t="array" aca="1" ref="AY40" ca="1">SUM(INDIRECT(ADDRESS(expenses_min_row,COLUMN())&amp;":"&amp;ADDRESS(expenses_max_row,COLUMN())))</f>
        <v>0</v>
      </c>
      <c r="AZ40" s="12" cm="1">
        <f t="array" aca="1" ref="AZ40" ca="1">SUM(INDIRECT(ADDRESS(expenses_min_row,COLUMN())&amp;":"&amp;ADDRESS(expenses_max_row,COLUMN())))</f>
        <v>0</v>
      </c>
      <c r="BA40" s="12" cm="1">
        <f t="array" aca="1" ref="BA40" ca="1">SUM(INDIRECT(ADDRESS(expenses_min_row,COLUMN())&amp;":"&amp;ADDRESS(expenses_max_row,COLUMN())))</f>
        <v>0</v>
      </c>
      <c r="BB40" s="12" cm="1">
        <f t="array" aca="1" ref="BB40" ca="1">SUM(INDIRECT(ADDRESS(expenses_min_row,COLUMN())&amp;":"&amp;ADDRESS(expenses_max_row,COLUMN())))</f>
        <v>0</v>
      </c>
      <c r="BC40" s="12" cm="1">
        <f t="array" aca="1" ref="BC40" ca="1">SUM(INDIRECT(ADDRESS(expenses_min_row,COLUMN())&amp;":"&amp;ADDRESS(expenses_max_row,COLUMN())))</f>
        <v>0</v>
      </c>
      <c r="BD40" s="12" cm="1">
        <f t="array" aca="1" ref="BD40" ca="1">SUM(INDIRECT(ADDRESS(expenses_min_row,COLUMN())&amp;":"&amp;ADDRESS(expenses_max_row,COLUMN())))</f>
        <v>0</v>
      </c>
      <c r="BE40" s="12" cm="1">
        <f t="array" aca="1" ref="BE40" ca="1">SUM(INDIRECT(ADDRESS(expenses_min_row,COLUMN())&amp;":"&amp;ADDRESS(expenses_max_row,COLUMN())))</f>
        <v>0</v>
      </c>
      <c r="BF40" s="12" cm="1">
        <f t="array" aca="1" ref="BF40" ca="1">SUM(INDIRECT(ADDRESS(expenses_min_row,COLUMN())&amp;":"&amp;ADDRESS(expenses_max_row,COLUMN())))</f>
        <v>0</v>
      </c>
      <c r="BG40" s="15">
        <f t="shared" ca="1" si="12"/>
        <v>0</v>
      </c>
      <c r="BI40" s="12" cm="1">
        <f t="array" aca="1" ref="BI40" ca="1">SUM(INDIRECT(ADDRESS(expenses_min_row,COLUMN())&amp;":"&amp;ADDRESS(expenses_max_row,COLUMN())))</f>
        <v>0</v>
      </c>
      <c r="BJ40" s="12" cm="1">
        <f t="array" aca="1" ref="BJ40" ca="1">SUM(INDIRECT(ADDRESS(expenses_min_row,COLUMN())&amp;":"&amp;ADDRESS(expenses_max_row,COLUMN())))</f>
        <v>0</v>
      </c>
      <c r="BK40" s="12" cm="1">
        <f t="array" aca="1" ref="BK40" ca="1">SUM(INDIRECT(ADDRESS(expenses_min_row,COLUMN())&amp;":"&amp;ADDRESS(expenses_max_row,COLUMN())))</f>
        <v>0</v>
      </c>
      <c r="BL40" s="12" cm="1">
        <f t="array" aca="1" ref="BL40" ca="1">SUM(INDIRECT(ADDRESS(expenses_min_row,COLUMN())&amp;":"&amp;ADDRESS(expenses_max_row,COLUMN())))</f>
        <v>0</v>
      </c>
      <c r="BM40" s="12" cm="1">
        <f t="array" aca="1" ref="BM40" ca="1">SUM(INDIRECT(ADDRESS(expenses_min_row,COLUMN())&amp;":"&amp;ADDRESS(expenses_max_row,COLUMN())))</f>
        <v>0</v>
      </c>
      <c r="BN40" s="12" cm="1">
        <f t="array" aca="1" ref="BN40" ca="1">SUM(INDIRECT(ADDRESS(expenses_min_row,COLUMN())&amp;":"&amp;ADDRESS(expenses_max_row,COLUMN())))</f>
        <v>0</v>
      </c>
      <c r="BO40" s="12" cm="1">
        <f t="array" aca="1" ref="BO40" ca="1">SUM(INDIRECT(ADDRESS(expenses_min_row,COLUMN())&amp;":"&amp;ADDRESS(expenses_max_row,COLUMN())))</f>
        <v>0</v>
      </c>
      <c r="BP40" s="12" cm="1">
        <f t="array" aca="1" ref="BP40" ca="1">SUM(INDIRECT(ADDRESS(expenses_min_row,COLUMN())&amp;":"&amp;ADDRESS(expenses_max_row,COLUMN())))</f>
        <v>0</v>
      </c>
      <c r="BQ40" s="12" cm="1">
        <f t="array" aca="1" ref="BQ40" ca="1">SUM(INDIRECT(ADDRESS(expenses_min_row,COLUMN())&amp;":"&amp;ADDRESS(expenses_max_row,COLUMN())))</f>
        <v>0</v>
      </c>
      <c r="BR40" s="12" cm="1">
        <f t="array" aca="1" ref="BR40" ca="1">SUM(INDIRECT(ADDRESS(expenses_min_row,COLUMN())&amp;":"&amp;ADDRESS(expenses_max_row,COLUMN())))</f>
        <v>0</v>
      </c>
      <c r="BS40" s="12" cm="1">
        <f t="array" aca="1" ref="BS40" ca="1">SUM(INDIRECT(ADDRESS(expenses_min_row,COLUMN())&amp;":"&amp;ADDRESS(expenses_max_row,COLUMN())))</f>
        <v>0</v>
      </c>
      <c r="BT40" s="12" cm="1">
        <f t="array" aca="1" ref="BT40" ca="1">SUM(INDIRECT(ADDRESS(expenses_min_row,COLUMN())&amp;":"&amp;ADDRESS(expenses_max_row,COLUMN())))</f>
        <v>0</v>
      </c>
      <c r="BU40" s="15">
        <f t="shared" ca="1" si="13"/>
        <v>0</v>
      </c>
    </row>
    <row r="41" spans="3:73" x14ac:dyDescent="0.2">
      <c r="C41" s="13"/>
    </row>
    <row r="42" spans="3:73" x14ac:dyDescent="0.2">
      <c r="C42" s="93" t="s">
        <v>27</v>
      </c>
      <c r="E42" s="21">
        <f>DATE(E$5,1,1)</f>
        <v>46023</v>
      </c>
      <c r="F42" s="21">
        <f>DATE(E$5,2,1)</f>
        <v>46054</v>
      </c>
      <c r="G42" s="21">
        <f>DATE(E$5,3,1)</f>
        <v>46082</v>
      </c>
      <c r="H42" s="21">
        <f>DATE(E$5,4,1)</f>
        <v>46113</v>
      </c>
      <c r="I42" s="21">
        <f>DATE(E$5,5,1)</f>
        <v>46143</v>
      </c>
      <c r="J42" s="21">
        <f>DATE(E$5,6,1)</f>
        <v>46174</v>
      </c>
      <c r="K42" s="21">
        <f>DATE(E$5,7,1)</f>
        <v>46204</v>
      </c>
      <c r="L42" s="21">
        <f>DATE(E$5,8,1)</f>
        <v>46235</v>
      </c>
      <c r="M42" s="21">
        <f>DATE(E$5,9,1)</f>
        <v>46266</v>
      </c>
      <c r="N42" s="21">
        <f>DATE(E$5,10,1)</f>
        <v>46296</v>
      </c>
      <c r="O42" s="21">
        <f>DATE(E$5,11,1)</f>
        <v>46327</v>
      </c>
      <c r="P42" s="21">
        <f>DATE(E$5,12,1)</f>
        <v>46357</v>
      </c>
      <c r="Q42" s="22">
        <f>E$5</f>
        <v>2026</v>
      </c>
      <c r="S42" s="21">
        <f>DATE(S$5,1,1)</f>
        <v>46388</v>
      </c>
      <c r="T42" s="21">
        <f>DATE(S$5,2,1)</f>
        <v>46419</v>
      </c>
      <c r="U42" s="21">
        <f>DATE(S$5,3,1)</f>
        <v>46447</v>
      </c>
      <c r="V42" s="21">
        <f>DATE(S$5,4,1)</f>
        <v>46478</v>
      </c>
      <c r="W42" s="21">
        <f>DATE(S$5,5,1)</f>
        <v>46508</v>
      </c>
      <c r="X42" s="21">
        <f>DATE(S$5,6,1)</f>
        <v>46539</v>
      </c>
      <c r="Y42" s="21">
        <f>DATE(S$5,7,1)</f>
        <v>46569</v>
      </c>
      <c r="Z42" s="21">
        <f>DATE(S$5,8,1)</f>
        <v>46600</v>
      </c>
      <c r="AA42" s="21">
        <f>DATE(S$5,9,1)</f>
        <v>46631</v>
      </c>
      <c r="AB42" s="21">
        <f>DATE(S$5,10,1)</f>
        <v>46661</v>
      </c>
      <c r="AC42" s="21">
        <f>DATE(S$5,11,1)</f>
        <v>46692</v>
      </c>
      <c r="AD42" s="21">
        <f>DATE(S$5,12,1)</f>
        <v>46722</v>
      </c>
      <c r="AE42" s="22">
        <f>S$5</f>
        <v>2027</v>
      </c>
      <c r="AG42" s="21">
        <f>DATE(AG$5,1,1)</f>
        <v>46753</v>
      </c>
      <c r="AH42" s="21">
        <f>DATE(AG$5,2,1)</f>
        <v>46784</v>
      </c>
      <c r="AI42" s="21">
        <f>DATE(AG$5,3,1)</f>
        <v>46813</v>
      </c>
      <c r="AJ42" s="21">
        <f>DATE(AG$5,4,1)</f>
        <v>46844</v>
      </c>
      <c r="AK42" s="21">
        <f>DATE(AG$5,5,1)</f>
        <v>46874</v>
      </c>
      <c r="AL42" s="21">
        <f>DATE(AG$5,6,1)</f>
        <v>46905</v>
      </c>
      <c r="AM42" s="21">
        <f>DATE(AG$5,7,1)</f>
        <v>46935</v>
      </c>
      <c r="AN42" s="21">
        <f>DATE(AG$5,8,1)</f>
        <v>46966</v>
      </c>
      <c r="AO42" s="21">
        <f>DATE(AG$5,9,1)</f>
        <v>46997</v>
      </c>
      <c r="AP42" s="21">
        <f>DATE(AG$5,10,1)</f>
        <v>47027</v>
      </c>
      <c r="AQ42" s="21">
        <f>DATE(AG$5,11,1)</f>
        <v>47058</v>
      </c>
      <c r="AR42" s="21">
        <f>DATE(AG$5,12,1)</f>
        <v>47088</v>
      </c>
      <c r="AS42" s="22">
        <f>AG$5</f>
        <v>2028</v>
      </c>
      <c r="AU42" s="21">
        <f>DATE(AU$5,1,1)</f>
        <v>47119</v>
      </c>
      <c r="AV42" s="21">
        <f>DATE(AU$5,2,1)</f>
        <v>47150</v>
      </c>
      <c r="AW42" s="21">
        <f>DATE(AU$5,3,1)</f>
        <v>47178</v>
      </c>
      <c r="AX42" s="21">
        <f>DATE(AU$5,4,1)</f>
        <v>47209</v>
      </c>
      <c r="AY42" s="21">
        <f>DATE(AU$5,5,1)</f>
        <v>47239</v>
      </c>
      <c r="AZ42" s="21">
        <f>DATE(AU$5,6,1)</f>
        <v>47270</v>
      </c>
      <c r="BA42" s="21">
        <f>DATE(AU$5,7,1)</f>
        <v>47300</v>
      </c>
      <c r="BB42" s="21">
        <f>DATE(AU$5,8,1)</f>
        <v>47331</v>
      </c>
      <c r="BC42" s="21">
        <f>DATE(AU$5,9,1)</f>
        <v>47362</v>
      </c>
      <c r="BD42" s="21">
        <f>DATE(AU$5,10,1)</f>
        <v>47392</v>
      </c>
      <c r="BE42" s="21">
        <f>DATE(AU$5,11,1)</f>
        <v>47423</v>
      </c>
      <c r="BF42" s="21">
        <f>DATE(AU$5,12,1)</f>
        <v>47453</v>
      </c>
      <c r="BG42" s="22">
        <f>AU$5</f>
        <v>2029</v>
      </c>
      <c r="BI42" s="21">
        <f>DATE(BI$5,1,1)</f>
        <v>47484</v>
      </c>
      <c r="BJ42" s="21">
        <f>DATE(BI$5,2,1)</f>
        <v>47515</v>
      </c>
      <c r="BK42" s="21">
        <f>DATE(BI$5,3,1)</f>
        <v>47543</v>
      </c>
      <c r="BL42" s="21">
        <f>DATE(BI$5,4,1)</f>
        <v>47574</v>
      </c>
      <c r="BM42" s="21">
        <f>DATE(BI$5,5,1)</f>
        <v>47604</v>
      </c>
      <c r="BN42" s="21">
        <f>DATE(BI$5,6,1)</f>
        <v>47635</v>
      </c>
      <c r="BO42" s="21">
        <f>DATE(BI$5,7,1)</f>
        <v>47665</v>
      </c>
      <c r="BP42" s="21">
        <f>DATE(BI$5,8,1)</f>
        <v>47696</v>
      </c>
      <c r="BQ42" s="21">
        <f>DATE(BI$5,9,1)</f>
        <v>47727</v>
      </c>
      <c r="BR42" s="21">
        <f>DATE(BI$5,10,1)</f>
        <v>47757</v>
      </c>
      <c r="BS42" s="21">
        <f>DATE(BI$5,11,1)</f>
        <v>47788</v>
      </c>
      <c r="BT42" s="21">
        <f>DATE(BI$5,12,1)</f>
        <v>47818</v>
      </c>
      <c r="BU42" s="22">
        <f>BI$5</f>
        <v>2030</v>
      </c>
    </row>
    <row r="43" spans="3:73" x14ac:dyDescent="0.2">
      <c r="C43" s="13" t="s">
        <v>28</v>
      </c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6">
        <f>SUM(E43:P43)</f>
        <v>0</v>
      </c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>
        <f>SUM(S43:AD43)</f>
        <v>0</v>
      </c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6">
        <f>SUM(AG43:AR43)</f>
        <v>0</v>
      </c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  <c r="BF43" s="14"/>
      <c r="BG43" s="16">
        <f>SUM(AU43:BF43)</f>
        <v>0</v>
      </c>
      <c r="BI43" s="14"/>
      <c r="BJ43" s="14"/>
      <c r="BK43" s="14"/>
      <c r="BL43" s="14"/>
      <c r="BM43" s="14"/>
      <c r="BN43" s="14"/>
      <c r="BO43" s="14"/>
      <c r="BP43" s="14"/>
      <c r="BQ43" s="14"/>
      <c r="BR43" s="14"/>
      <c r="BS43" s="14"/>
      <c r="BT43" s="14"/>
      <c r="BU43" s="16">
        <f>SUM(BI43:BT43)</f>
        <v>0</v>
      </c>
    </row>
    <row r="44" spans="3:73" hidden="1" x14ac:dyDescent="0.2">
      <c r="C44" s="13" t="s">
        <v>29</v>
      </c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6">
        <f>SUM(E44:P44)</f>
        <v>0</v>
      </c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>
        <f>SUM(S44:AD44)</f>
        <v>0</v>
      </c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6">
        <f>SUM(AG44:AR44)</f>
        <v>0</v>
      </c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  <c r="BF44" s="14"/>
      <c r="BG44" s="16">
        <f>SUM(AU44:BF44)</f>
        <v>0</v>
      </c>
      <c r="BI44" s="14"/>
      <c r="BJ44" s="14"/>
      <c r="BK44" s="14"/>
      <c r="BL44" s="14"/>
      <c r="BM44" s="14"/>
      <c r="BN44" s="14"/>
      <c r="BO44" s="14"/>
      <c r="BP44" s="14"/>
      <c r="BQ44" s="14"/>
      <c r="BR44" s="14"/>
      <c r="BS44" s="14"/>
      <c r="BT44" s="14"/>
      <c r="BU44" s="16">
        <f>SUM(BI44:BT44)</f>
        <v>0</v>
      </c>
    </row>
    <row r="45" spans="3:73" hidden="1" x14ac:dyDescent="0.2">
      <c r="C45" s="13" t="s">
        <v>29</v>
      </c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6">
        <f>SUM(E45:P45)</f>
        <v>0</v>
      </c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>
        <f>SUM(S45:AD45)</f>
        <v>0</v>
      </c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6">
        <f>SUM(AG45:AR45)</f>
        <v>0</v>
      </c>
      <c r="AU45" s="14"/>
      <c r="AV45" s="14"/>
      <c r="AW45" s="14"/>
      <c r="AX45" s="14"/>
      <c r="AY45" s="14"/>
      <c r="AZ45" s="14"/>
      <c r="BA45" s="14"/>
      <c r="BB45" s="14"/>
      <c r="BC45" s="14"/>
      <c r="BD45" s="14"/>
      <c r="BE45" s="14"/>
      <c r="BF45" s="14"/>
      <c r="BG45" s="16">
        <f>SUM(AU45:BF45)</f>
        <v>0</v>
      </c>
      <c r="BI45" s="14"/>
      <c r="BJ45" s="14"/>
      <c r="BK45" s="14"/>
      <c r="BL45" s="14"/>
      <c r="BM45" s="14"/>
      <c r="BN45" s="14"/>
      <c r="BO45" s="14"/>
      <c r="BP45" s="14"/>
      <c r="BQ45" s="14"/>
      <c r="BR45" s="14"/>
      <c r="BS45" s="14"/>
      <c r="BT45" s="14"/>
      <c r="BU45" s="16">
        <f>SUM(BI45:BT45)</f>
        <v>0</v>
      </c>
    </row>
    <row r="46" spans="3:73" hidden="1" x14ac:dyDescent="0.2">
      <c r="C46" s="13" t="s">
        <v>29</v>
      </c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6">
        <f>SUM(E46:P46)</f>
        <v>0</v>
      </c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>
        <f>SUM(S46:AD46)</f>
        <v>0</v>
      </c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6">
        <f>SUM(AG46:AR46)</f>
        <v>0</v>
      </c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6">
        <f>SUM(AU46:BF46)</f>
        <v>0</v>
      </c>
      <c r="BI46" s="14"/>
      <c r="BJ46" s="14"/>
      <c r="BK46" s="14"/>
      <c r="BL46" s="14"/>
      <c r="BM46" s="14"/>
      <c r="BN46" s="14"/>
      <c r="BO46" s="14"/>
      <c r="BP46" s="14"/>
      <c r="BQ46" s="14"/>
      <c r="BR46" s="14"/>
      <c r="BS46" s="14"/>
      <c r="BT46" s="14"/>
      <c r="BU46" s="16">
        <f>SUM(BI46:BT46)</f>
        <v>0</v>
      </c>
    </row>
    <row r="47" spans="3:73" x14ac:dyDescent="0.2">
      <c r="C47" s="9" t="s">
        <v>18</v>
      </c>
      <c r="E47" s="12" cm="1">
        <f t="array" aca="1" ref="E47" ca="1">SUM(INDIRECT(ADDRESS(savings_min_row,COLUMN())&amp;":"&amp;ADDRESS(savings_max_row,COLUMN())))</f>
        <v>0</v>
      </c>
      <c r="F47" s="12" cm="1">
        <f t="array" aca="1" ref="F47" ca="1">SUM(INDIRECT(ADDRESS(savings_min_row,COLUMN())&amp;":"&amp;ADDRESS(savings_max_row,COLUMN())))</f>
        <v>0</v>
      </c>
      <c r="G47" s="12" cm="1">
        <f t="array" aca="1" ref="G47" ca="1">SUM(INDIRECT(ADDRESS(savings_min_row,COLUMN())&amp;":"&amp;ADDRESS(savings_max_row,COLUMN())))</f>
        <v>0</v>
      </c>
      <c r="H47" s="12" cm="1">
        <f t="array" aca="1" ref="H47" ca="1">SUM(INDIRECT(ADDRESS(savings_min_row,COLUMN())&amp;":"&amp;ADDRESS(savings_max_row,COLUMN())))</f>
        <v>0</v>
      </c>
      <c r="I47" s="12" cm="1">
        <f t="array" aca="1" ref="I47" ca="1">SUM(INDIRECT(ADDRESS(savings_min_row,COLUMN())&amp;":"&amp;ADDRESS(savings_max_row,COLUMN())))</f>
        <v>0</v>
      </c>
      <c r="J47" s="12" cm="1">
        <f t="array" aca="1" ref="J47" ca="1">SUM(INDIRECT(ADDRESS(savings_min_row,COLUMN())&amp;":"&amp;ADDRESS(savings_max_row,COLUMN())))</f>
        <v>0</v>
      </c>
      <c r="K47" s="12" cm="1">
        <f t="array" aca="1" ref="K47" ca="1">SUM(INDIRECT(ADDRESS(savings_min_row,COLUMN())&amp;":"&amp;ADDRESS(savings_max_row,COLUMN())))</f>
        <v>0</v>
      </c>
      <c r="L47" s="12" cm="1">
        <f t="array" aca="1" ref="L47" ca="1">SUM(INDIRECT(ADDRESS(savings_min_row,COLUMN())&amp;":"&amp;ADDRESS(savings_max_row,COLUMN())))</f>
        <v>0</v>
      </c>
      <c r="M47" s="12" cm="1">
        <f t="array" aca="1" ref="M47" ca="1">SUM(INDIRECT(ADDRESS(savings_min_row,COLUMN())&amp;":"&amp;ADDRESS(savings_max_row,COLUMN())))</f>
        <v>0</v>
      </c>
      <c r="N47" s="12" cm="1">
        <f t="array" aca="1" ref="N47" ca="1">SUM(INDIRECT(ADDRESS(savings_min_row,COLUMN())&amp;":"&amp;ADDRESS(savings_max_row,COLUMN())))</f>
        <v>0</v>
      </c>
      <c r="O47" s="12" cm="1">
        <f t="array" aca="1" ref="O47" ca="1">SUM(INDIRECT(ADDRESS(savings_min_row,COLUMN())&amp;":"&amp;ADDRESS(savings_max_row,COLUMN())))</f>
        <v>0</v>
      </c>
      <c r="P47" s="12" cm="1">
        <f t="array" aca="1" ref="P47" ca="1">SUM(INDIRECT(ADDRESS(savings_min_row,COLUMN())&amp;":"&amp;ADDRESS(savings_max_row,COLUMN())))</f>
        <v>0</v>
      </c>
      <c r="Q47" s="15" cm="1">
        <f t="array" aca="1" ref="Q47" ca="1">SUM(INDIRECT(ADDRESS(savings_min_row,COLUMN())&amp;":"&amp;ADDRESS(savings_max_row,COLUMN())))</f>
        <v>0</v>
      </c>
      <c r="S47" s="12" cm="1">
        <f t="array" aca="1" ref="S47" ca="1">SUM(INDIRECT(ADDRESS(savings_min_row,COLUMN())&amp;":"&amp;ADDRESS(savings_max_row,COLUMN())))</f>
        <v>0</v>
      </c>
      <c r="T47" s="12" cm="1">
        <f t="array" aca="1" ref="T47" ca="1">SUM(INDIRECT(ADDRESS(savings_min_row,COLUMN())&amp;":"&amp;ADDRESS(savings_max_row,COLUMN())))</f>
        <v>0</v>
      </c>
      <c r="U47" s="12" cm="1">
        <f t="array" aca="1" ref="U47" ca="1">SUM(INDIRECT(ADDRESS(savings_min_row,COLUMN())&amp;":"&amp;ADDRESS(savings_max_row,COLUMN())))</f>
        <v>0</v>
      </c>
      <c r="V47" s="12" cm="1">
        <f t="array" aca="1" ref="V47" ca="1">SUM(INDIRECT(ADDRESS(savings_min_row,COLUMN())&amp;":"&amp;ADDRESS(savings_max_row,COLUMN())))</f>
        <v>0</v>
      </c>
      <c r="W47" s="12" cm="1">
        <f t="array" aca="1" ref="W47" ca="1">SUM(INDIRECT(ADDRESS(savings_min_row,COLUMN())&amp;":"&amp;ADDRESS(savings_max_row,COLUMN())))</f>
        <v>0</v>
      </c>
      <c r="X47" s="12" cm="1">
        <f t="array" aca="1" ref="X47" ca="1">SUM(INDIRECT(ADDRESS(savings_min_row,COLUMN())&amp;":"&amp;ADDRESS(savings_max_row,COLUMN())))</f>
        <v>0</v>
      </c>
      <c r="Y47" s="12" cm="1">
        <f t="array" aca="1" ref="Y47" ca="1">SUM(INDIRECT(ADDRESS(savings_min_row,COLUMN())&amp;":"&amp;ADDRESS(savings_max_row,COLUMN())))</f>
        <v>0</v>
      </c>
      <c r="Z47" s="12" cm="1">
        <f t="array" aca="1" ref="Z47" ca="1">SUM(INDIRECT(ADDRESS(savings_min_row,COLUMN())&amp;":"&amp;ADDRESS(savings_max_row,COLUMN())))</f>
        <v>0</v>
      </c>
      <c r="AA47" s="12" cm="1">
        <f t="array" aca="1" ref="AA47" ca="1">SUM(INDIRECT(ADDRESS(savings_min_row,COLUMN())&amp;":"&amp;ADDRESS(savings_max_row,COLUMN())))</f>
        <v>0</v>
      </c>
      <c r="AB47" s="12" cm="1">
        <f t="array" aca="1" ref="AB47" ca="1">SUM(INDIRECT(ADDRESS(savings_min_row,COLUMN())&amp;":"&amp;ADDRESS(savings_max_row,COLUMN())))</f>
        <v>0</v>
      </c>
      <c r="AC47" s="12" cm="1">
        <f t="array" aca="1" ref="AC47" ca="1">SUM(INDIRECT(ADDRESS(savings_min_row,COLUMN())&amp;":"&amp;ADDRESS(savings_max_row,COLUMN())))</f>
        <v>0</v>
      </c>
      <c r="AD47" s="12" cm="1">
        <f t="array" aca="1" ref="AD47" ca="1">SUM(INDIRECT(ADDRESS(savings_min_row,COLUMN())&amp;":"&amp;ADDRESS(savings_max_row,COLUMN())))</f>
        <v>0</v>
      </c>
      <c r="AE47" s="15" cm="1">
        <f t="array" aca="1" ref="AE47" ca="1">SUM(INDIRECT(ADDRESS(savings_min_row,COLUMN())&amp;":"&amp;ADDRESS(savings_max_row,COLUMN())))</f>
        <v>0</v>
      </c>
      <c r="AG47" s="12" cm="1">
        <f t="array" aca="1" ref="AG47" ca="1">SUM(INDIRECT(ADDRESS(savings_min_row,COLUMN())&amp;":"&amp;ADDRESS(savings_max_row,COLUMN())))</f>
        <v>0</v>
      </c>
      <c r="AH47" s="12" cm="1">
        <f t="array" aca="1" ref="AH47" ca="1">SUM(INDIRECT(ADDRESS(savings_min_row,COLUMN())&amp;":"&amp;ADDRESS(savings_max_row,COLUMN())))</f>
        <v>0</v>
      </c>
      <c r="AI47" s="12" cm="1">
        <f t="array" aca="1" ref="AI47" ca="1">SUM(INDIRECT(ADDRESS(savings_min_row,COLUMN())&amp;":"&amp;ADDRESS(savings_max_row,COLUMN())))</f>
        <v>0</v>
      </c>
      <c r="AJ47" s="12" cm="1">
        <f t="array" aca="1" ref="AJ47" ca="1">SUM(INDIRECT(ADDRESS(savings_min_row,COLUMN())&amp;":"&amp;ADDRESS(savings_max_row,COLUMN())))</f>
        <v>0</v>
      </c>
      <c r="AK47" s="12" cm="1">
        <f t="array" aca="1" ref="AK47" ca="1">SUM(INDIRECT(ADDRESS(savings_min_row,COLUMN())&amp;":"&amp;ADDRESS(savings_max_row,COLUMN())))</f>
        <v>0</v>
      </c>
      <c r="AL47" s="12" cm="1">
        <f t="array" aca="1" ref="AL47" ca="1">SUM(INDIRECT(ADDRESS(savings_min_row,COLUMN())&amp;":"&amp;ADDRESS(savings_max_row,COLUMN())))</f>
        <v>0</v>
      </c>
      <c r="AM47" s="12" cm="1">
        <f t="array" aca="1" ref="AM47" ca="1">SUM(INDIRECT(ADDRESS(savings_min_row,COLUMN())&amp;":"&amp;ADDRESS(savings_max_row,COLUMN())))</f>
        <v>0</v>
      </c>
      <c r="AN47" s="12" cm="1">
        <f t="array" aca="1" ref="AN47" ca="1">SUM(INDIRECT(ADDRESS(savings_min_row,COLUMN())&amp;":"&amp;ADDRESS(savings_max_row,COLUMN())))</f>
        <v>0</v>
      </c>
      <c r="AO47" s="12" cm="1">
        <f t="array" aca="1" ref="AO47" ca="1">SUM(INDIRECT(ADDRESS(savings_min_row,COLUMN())&amp;":"&amp;ADDRESS(savings_max_row,COLUMN())))</f>
        <v>0</v>
      </c>
      <c r="AP47" s="12" cm="1">
        <f t="array" aca="1" ref="AP47" ca="1">SUM(INDIRECT(ADDRESS(savings_min_row,COLUMN())&amp;":"&amp;ADDRESS(savings_max_row,COLUMN())))</f>
        <v>0</v>
      </c>
      <c r="AQ47" s="12" cm="1">
        <f t="array" aca="1" ref="AQ47" ca="1">SUM(INDIRECT(ADDRESS(savings_min_row,COLUMN())&amp;":"&amp;ADDRESS(savings_max_row,COLUMN())))</f>
        <v>0</v>
      </c>
      <c r="AR47" s="12" cm="1">
        <f t="array" aca="1" ref="AR47" ca="1">SUM(INDIRECT(ADDRESS(savings_min_row,COLUMN())&amp;":"&amp;ADDRESS(savings_max_row,COLUMN())))</f>
        <v>0</v>
      </c>
      <c r="AS47" s="15" cm="1">
        <f t="array" aca="1" ref="AS47" ca="1">SUM(INDIRECT(ADDRESS(savings_min_row,COLUMN())&amp;":"&amp;ADDRESS(savings_max_row,COLUMN())))</f>
        <v>0</v>
      </c>
      <c r="AU47" s="12" cm="1">
        <f t="array" aca="1" ref="AU47" ca="1">SUM(INDIRECT(ADDRESS(savings_min_row,COLUMN())&amp;":"&amp;ADDRESS(savings_max_row,COLUMN())))</f>
        <v>0</v>
      </c>
      <c r="AV47" s="12" cm="1">
        <f t="array" aca="1" ref="AV47" ca="1">SUM(INDIRECT(ADDRESS(savings_min_row,COLUMN())&amp;":"&amp;ADDRESS(savings_max_row,COLUMN())))</f>
        <v>0</v>
      </c>
      <c r="AW47" s="12" cm="1">
        <f t="array" aca="1" ref="AW47" ca="1">SUM(INDIRECT(ADDRESS(savings_min_row,COLUMN())&amp;":"&amp;ADDRESS(savings_max_row,COLUMN())))</f>
        <v>0</v>
      </c>
      <c r="AX47" s="12" cm="1">
        <f t="array" aca="1" ref="AX47" ca="1">SUM(INDIRECT(ADDRESS(savings_min_row,COLUMN())&amp;":"&amp;ADDRESS(savings_max_row,COLUMN())))</f>
        <v>0</v>
      </c>
      <c r="AY47" s="12" cm="1">
        <f t="array" aca="1" ref="AY47" ca="1">SUM(INDIRECT(ADDRESS(savings_min_row,COLUMN())&amp;":"&amp;ADDRESS(savings_max_row,COLUMN())))</f>
        <v>0</v>
      </c>
      <c r="AZ47" s="12" cm="1">
        <f t="array" aca="1" ref="AZ47" ca="1">SUM(INDIRECT(ADDRESS(savings_min_row,COLUMN())&amp;":"&amp;ADDRESS(savings_max_row,COLUMN())))</f>
        <v>0</v>
      </c>
      <c r="BA47" s="12" cm="1">
        <f t="array" aca="1" ref="BA47" ca="1">SUM(INDIRECT(ADDRESS(savings_min_row,COLUMN())&amp;":"&amp;ADDRESS(savings_max_row,COLUMN())))</f>
        <v>0</v>
      </c>
      <c r="BB47" s="12" cm="1">
        <f t="array" aca="1" ref="BB47" ca="1">SUM(INDIRECT(ADDRESS(savings_min_row,COLUMN())&amp;":"&amp;ADDRESS(savings_max_row,COLUMN())))</f>
        <v>0</v>
      </c>
      <c r="BC47" s="12" cm="1">
        <f t="array" aca="1" ref="BC47" ca="1">SUM(INDIRECT(ADDRESS(savings_min_row,COLUMN())&amp;":"&amp;ADDRESS(savings_max_row,COLUMN())))</f>
        <v>0</v>
      </c>
      <c r="BD47" s="12" cm="1">
        <f t="array" aca="1" ref="BD47" ca="1">SUM(INDIRECT(ADDRESS(savings_min_row,COLUMN())&amp;":"&amp;ADDRESS(savings_max_row,COLUMN())))</f>
        <v>0</v>
      </c>
      <c r="BE47" s="12" cm="1">
        <f t="array" aca="1" ref="BE47" ca="1">SUM(INDIRECT(ADDRESS(savings_min_row,COLUMN())&amp;":"&amp;ADDRESS(savings_max_row,COLUMN())))</f>
        <v>0</v>
      </c>
      <c r="BF47" s="12" cm="1">
        <f t="array" aca="1" ref="BF47" ca="1">SUM(INDIRECT(ADDRESS(savings_min_row,COLUMN())&amp;":"&amp;ADDRESS(savings_max_row,COLUMN())))</f>
        <v>0</v>
      </c>
      <c r="BG47" s="15" cm="1">
        <f t="array" aca="1" ref="BG47" ca="1">SUM(INDIRECT(ADDRESS(savings_min_row,COLUMN())&amp;":"&amp;ADDRESS(savings_max_row,COLUMN())))</f>
        <v>0</v>
      </c>
      <c r="BI47" s="12" cm="1">
        <f t="array" aca="1" ref="BI47" ca="1">SUM(INDIRECT(ADDRESS(savings_min_row,COLUMN())&amp;":"&amp;ADDRESS(savings_max_row,COLUMN())))</f>
        <v>0</v>
      </c>
      <c r="BJ47" s="12" cm="1">
        <f t="array" aca="1" ref="BJ47" ca="1">SUM(INDIRECT(ADDRESS(savings_min_row,COLUMN())&amp;":"&amp;ADDRESS(savings_max_row,COLUMN())))</f>
        <v>0</v>
      </c>
      <c r="BK47" s="12" cm="1">
        <f t="array" aca="1" ref="BK47" ca="1">SUM(INDIRECT(ADDRESS(savings_min_row,COLUMN())&amp;":"&amp;ADDRESS(savings_max_row,COLUMN())))</f>
        <v>0</v>
      </c>
      <c r="BL47" s="12" cm="1">
        <f t="array" aca="1" ref="BL47" ca="1">SUM(INDIRECT(ADDRESS(savings_min_row,COLUMN())&amp;":"&amp;ADDRESS(savings_max_row,COLUMN())))</f>
        <v>0</v>
      </c>
      <c r="BM47" s="12" cm="1">
        <f t="array" aca="1" ref="BM47" ca="1">SUM(INDIRECT(ADDRESS(savings_min_row,COLUMN())&amp;":"&amp;ADDRESS(savings_max_row,COLUMN())))</f>
        <v>0</v>
      </c>
      <c r="BN47" s="12" cm="1">
        <f t="array" aca="1" ref="BN47" ca="1">SUM(INDIRECT(ADDRESS(savings_min_row,COLUMN())&amp;":"&amp;ADDRESS(savings_max_row,COLUMN())))</f>
        <v>0</v>
      </c>
      <c r="BO47" s="12" cm="1">
        <f t="array" aca="1" ref="BO47" ca="1">SUM(INDIRECT(ADDRESS(savings_min_row,COLUMN())&amp;":"&amp;ADDRESS(savings_max_row,COLUMN())))</f>
        <v>0</v>
      </c>
      <c r="BP47" s="12" cm="1">
        <f t="array" aca="1" ref="BP47" ca="1">SUM(INDIRECT(ADDRESS(savings_min_row,COLUMN())&amp;":"&amp;ADDRESS(savings_max_row,COLUMN())))</f>
        <v>0</v>
      </c>
      <c r="BQ47" s="12" cm="1">
        <f t="array" aca="1" ref="BQ47" ca="1">SUM(INDIRECT(ADDRESS(savings_min_row,COLUMN())&amp;":"&amp;ADDRESS(savings_max_row,COLUMN())))</f>
        <v>0</v>
      </c>
      <c r="BR47" s="12" cm="1">
        <f t="array" aca="1" ref="BR47" ca="1">SUM(INDIRECT(ADDRESS(savings_min_row,COLUMN())&amp;":"&amp;ADDRESS(savings_max_row,COLUMN())))</f>
        <v>0</v>
      </c>
      <c r="BS47" s="12" cm="1">
        <f t="array" aca="1" ref="BS47" ca="1">SUM(INDIRECT(ADDRESS(savings_min_row,COLUMN())&amp;":"&amp;ADDRESS(savings_max_row,COLUMN())))</f>
        <v>0</v>
      </c>
      <c r="BT47" s="12" cm="1">
        <f t="array" aca="1" ref="BT47" ca="1">SUM(INDIRECT(ADDRESS(savings_min_row,COLUMN())&amp;":"&amp;ADDRESS(savings_max_row,COLUMN())))</f>
        <v>0</v>
      </c>
      <c r="BU47" s="15" cm="1">
        <f t="array" aca="1" ref="BU47" ca="1">SUM(INDIRECT(ADDRESS(savings_min_row,COLUMN())&amp;":"&amp;ADDRESS(savings_max_row,COLUMN())))</f>
        <v>0</v>
      </c>
    </row>
    <row r="49" spans="3:3" x14ac:dyDescent="0.2">
      <c r="C49" s="20" t="s">
        <v>30</v>
      </c>
    </row>
    <row r="50" spans="3:3" x14ac:dyDescent="0.2">
      <c r="C50">
        <f>150000-64000</f>
        <v>86000</v>
      </c>
    </row>
  </sheetData>
  <mergeCells count="5">
    <mergeCell ref="BI5:BU5"/>
    <mergeCell ref="E5:Q5"/>
    <mergeCell ref="S5:AE5"/>
    <mergeCell ref="AG5:AS5"/>
    <mergeCell ref="AU5:BG5"/>
  </mergeCells>
  <phoneticPr fontId="36" type="noConversion"/>
  <conditionalFormatting sqref="C10:C18 E10:Q18 S10:AE18 AG10:AS18 AU10:BG18 BI10:BU18">
    <cfRule type="expression" dxfId="39" priority="11">
      <formula>ROW(A10)&lt;=income_max_row</formula>
    </cfRule>
  </conditionalFormatting>
  <conditionalFormatting sqref="C43:C46">
    <cfRule type="expression" dxfId="38" priority="32">
      <formula>ROW(A43)&lt;=expenses_max_row</formula>
    </cfRule>
    <cfRule type="expression" dxfId="37" priority="36">
      <formula>ROW(A43)&lt;=savings_max_row</formula>
    </cfRule>
  </conditionalFormatting>
  <conditionalFormatting sqref="E22:H22">
    <cfRule type="expression" dxfId="36" priority="3">
      <formula>ROW(XFD22)&lt;=expenses_max_row</formula>
    </cfRule>
  </conditionalFormatting>
  <conditionalFormatting sqref="E6:Q7 S6:AE7 AG6:AS7 AU6:BG7 BI6:BU7">
    <cfRule type="expression" dxfId="35" priority="60" stopIfTrue="1">
      <formula>AND(E$19=0, E$40=0, E$47=0)</formula>
    </cfRule>
    <cfRule type="expression" dxfId="34" priority="61" stopIfTrue="1">
      <formula>E$7=0</formula>
    </cfRule>
    <cfRule type="expression" dxfId="33" priority="62">
      <formula>E$7&lt;0</formula>
    </cfRule>
  </conditionalFormatting>
  <conditionalFormatting sqref="S43:AE46 AG43:AS46 AU43:BG46 BI43:BU46 I22:P22 S22:AE39 AG22:AS39 AU22:BG39 BI22:BU39 Q22:Q40 AE40 AS40 BG40 BU40 C22:C37 E24:P39 E43:Q46 H23:P23">
    <cfRule type="expression" dxfId="32" priority="9">
      <formula>ROW(A22)&lt;=expenses_max_row</formula>
    </cfRule>
  </conditionalFormatting>
  <conditionalFormatting sqref="S43:AE46 AG43:AS46 AU43:BG46 BI43:BU46 E43:Q46">
    <cfRule type="expression" dxfId="31" priority="7">
      <formula>ROW(C43)&lt;=savings_max_row</formula>
    </cfRule>
  </conditionalFormatting>
  <conditionalFormatting sqref="C38:C39">
    <cfRule type="expression" dxfId="30" priority="73">
      <formula>ROW(A38)&lt;=expenses_max_row</formula>
    </cfRule>
  </conditionalFormatting>
  <conditionalFormatting sqref="E23:G23">
    <cfRule type="expression" dxfId="0" priority="1">
      <formula>ROW(XFD23)&lt;=expenses_max_row</formula>
    </cfRule>
  </conditionalFormatting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93863-E345-4F62-85C1-1CE09438B3C4}">
  <dimension ref="A1:I28"/>
  <sheetViews>
    <sheetView showGridLines="0" zoomScale="150" workbookViewId="0">
      <pane ySplit="11" topLeftCell="A12" activePane="bottomLeft" state="frozen"/>
      <selection pane="bottomLeft" activeCell="F15" sqref="F15"/>
    </sheetView>
  </sheetViews>
  <sheetFormatPr baseColWidth="10" defaultColWidth="8.83203125" defaultRowHeight="15" x14ac:dyDescent="0.2"/>
  <cols>
    <col min="1" max="1" width="5.5" customWidth="1"/>
    <col min="2" max="2" width="2" customWidth="1"/>
    <col min="3" max="4" width="13.83203125" customWidth="1"/>
    <col min="5" max="5" width="25.83203125" customWidth="1"/>
    <col min="6" max="6" width="13.83203125" customWidth="1"/>
    <col min="7" max="7" width="14.83203125" customWidth="1"/>
    <col min="8" max="8" width="15.1640625" customWidth="1"/>
    <col min="9" max="9" width="16.6640625" customWidth="1"/>
  </cols>
  <sheetData>
    <row r="1" spans="1:9" s="137" customFormat="1" ht="14.5" customHeight="1" x14ac:dyDescent="0.2">
      <c r="A1" s="136" t="s">
        <v>31</v>
      </c>
      <c r="B1" s="136"/>
      <c r="C1" s="136"/>
      <c r="D1" s="136"/>
    </row>
    <row r="2" spans="1:9" s="137" customFormat="1" ht="14.5" customHeight="1" x14ac:dyDescent="0.2">
      <c r="A2" s="136"/>
      <c r="B2" s="136"/>
      <c r="C2" s="136"/>
      <c r="D2" s="136"/>
    </row>
    <row r="3" spans="1:9" s="137" customFormat="1" ht="14.5" customHeight="1" x14ac:dyDescent="0.2">
      <c r="A3" s="136"/>
      <c r="B3" s="136"/>
      <c r="C3" s="136"/>
      <c r="D3" s="136"/>
    </row>
    <row r="10" spans="1:9" x14ac:dyDescent="0.2">
      <c r="I10" s="44"/>
    </row>
    <row r="11" spans="1:9" x14ac:dyDescent="0.2">
      <c r="C11" s="138" t="s">
        <v>32</v>
      </c>
      <c r="D11" s="138" t="s">
        <v>33</v>
      </c>
      <c r="E11" s="138" t="s">
        <v>34</v>
      </c>
      <c r="F11" s="138" t="s">
        <v>35</v>
      </c>
      <c r="G11" s="138" t="s">
        <v>36</v>
      </c>
      <c r="H11" s="38" t="s">
        <v>37</v>
      </c>
      <c r="I11" s="39" t="s">
        <v>38</v>
      </c>
    </row>
    <row r="12" spans="1:9" x14ac:dyDescent="0.2">
      <c r="C12" s="35">
        <v>46023</v>
      </c>
      <c r="D12" s="8" t="s">
        <v>19</v>
      </c>
      <c r="E12" s="8" t="s">
        <v>116</v>
      </c>
      <c r="F12" s="36">
        <v>245.23</v>
      </c>
      <c r="G12" s="37"/>
      <c r="H12" s="40" cm="1">
        <f t="array" ref="H12">SUMPRODUCT(Tracking[Amount],--(Tracking[Date]&lt;=Tracking[[#This Row],[Date]]),(Tracking[Type]&lt;&gt;"Income")*(1)+(Tracking[Type]="Income"))</f>
        <v>245.23</v>
      </c>
      <c r="I12" s="42"/>
    </row>
    <row r="13" spans="1:9" x14ac:dyDescent="0.2">
      <c r="C13" s="35">
        <v>46024</v>
      </c>
      <c r="D13" s="8" t="s">
        <v>19</v>
      </c>
      <c r="E13" s="8" t="s">
        <v>109</v>
      </c>
      <c r="F13" s="36">
        <v>305.55</v>
      </c>
      <c r="G13" s="37"/>
      <c r="H13" s="117" cm="1">
        <f t="array" ref="H13">SUMPRODUCT(Tracking[Amount],--(Tracking[Date]&lt;=Tracking[[#This Row],[Date]]),(Tracking[Type]&lt;&gt;"Income")*(1)+(Tracking[Type]="Income"))</f>
        <v>6550.78</v>
      </c>
      <c r="I13" s="42"/>
    </row>
    <row r="14" spans="1:9" x14ac:dyDescent="0.2">
      <c r="C14" s="35">
        <v>46024</v>
      </c>
      <c r="D14" s="8" t="s">
        <v>15</v>
      </c>
      <c r="E14" s="8" t="s">
        <v>16</v>
      </c>
      <c r="F14" s="36">
        <v>6000</v>
      </c>
      <c r="G14" s="37"/>
      <c r="H14" s="40" cm="1">
        <f t="array" ref="H14">SUMPRODUCT(Tracking[Amount],--(Tracking[Date]&lt;=Tracking[[#This Row],[Date]]),(Tracking[Type]&lt;&gt;"Income")*(1)+(Tracking[Type]="Income"))</f>
        <v>6550.78</v>
      </c>
      <c r="I14" s="42"/>
    </row>
    <row r="15" spans="1:9" x14ac:dyDescent="0.2">
      <c r="C15" s="35">
        <v>46025</v>
      </c>
      <c r="D15" s="8" t="s">
        <v>19</v>
      </c>
      <c r="E15" s="8" t="s">
        <v>112</v>
      </c>
      <c r="F15" s="36">
        <v>4200</v>
      </c>
      <c r="G15" s="37"/>
      <c r="H15" s="117" cm="1">
        <f t="array" ref="H15">SUMPRODUCT(Tracking[Amount],--(Tracking[Date]&lt;=Tracking[[#This Row],[Date]]),(Tracking[Type]&lt;&gt;"Income")*(1)+(Tracking[Type]="Income"))</f>
        <v>10750.779999999999</v>
      </c>
      <c r="I15" s="42"/>
    </row>
    <row r="16" spans="1:9" x14ac:dyDescent="0.2">
      <c r="C16" s="35">
        <v>46030</v>
      </c>
      <c r="D16" s="8" t="s">
        <v>19</v>
      </c>
      <c r="E16" s="8" t="s">
        <v>117</v>
      </c>
      <c r="F16" s="36">
        <v>8000</v>
      </c>
      <c r="G16" s="37" t="s">
        <v>120</v>
      </c>
      <c r="H16" s="40" cm="1">
        <f t="array" ref="H16">SUMPRODUCT(Tracking[Amount],--(Tracking[Date]&lt;=Tracking[[#This Row],[Date]]),(Tracking[Type]&lt;&gt;"Income")*(1)+(Tracking[Type]="Income"))</f>
        <v>18750.78</v>
      </c>
      <c r="I16" s="42"/>
    </row>
    <row r="17" spans="3:9" x14ac:dyDescent="0.2">
      <c r="C17" s="35"/>
      <c r="D17" s="8"/>
      <c r="E17" s="8"/>
      <c r="F17" s="36"/>
      <c r="G17" s="37"/>
      <c r="H17" s="117" cm="1">
        <f t="array" ref="H17">SUMPRODUCT(Tracking[Amount],--(Tracking[Date]&lt;=Tracking[[#This Row],[Date]]),(Tracking[Type]&lt;&gt;"Income")*(1)+(Tracking[Type]="Income"))</f>
        <v>0</v>
      </c>
      <c r="I17" s="42"/>
    </row>
    <row r="18" spans="3:9" x14ac:dyDescent="0.2">
      <c r="C18" s="35"/>
      <c r="D18" s="8"/>
      <c r="E18" s="8"/>
      <c r="F18" s="36"/>
      <c r="G18" s="37"/>
      <c r="H18" s="40" cm="1">
        <f t="array" ref="H18">SUMPRODUCT(Tracking[Amount],--(Tracking[Date]&lt;=Tracking[[#This Row],[Date]]),(Tracking[Type]&lt;&gt;"Income")*(1)+(Tracking[Type]="Income"))</f>
        <v>0</v>
      </c>
      <c r="I18" s="42"/>
    </row>
    <row r="19" spans="3:9" x14ac:dyDescent="0.2">
      <c r="C19" s="35"/>
      <c r="D19" s="8"/>
      <c r="E19" s="8"/>
      <c r="F19" s="36"/>
      <c r="G19" s="37"/>
      <c r="H19" s="117" cm="1">
        <f t="array" ref="H19">SUMPRODUCT(Tracking[Amount],--(Tracking[Date]&lt;=Tracking[[#This Row],[Date]]),(Tracking[Type]&lt;&gt;"Income")*(1)+(Tracking[Type]="Income"))</f>
        <v>0</v>
      </c>
      <c r="I19" s="42"/>
    </row>
    <row r="20" spans="3:9" x14ac:dyDescent="0.2">
      <c r="C20" s="35"/>
      <c r="D20" s="8"/>
      <c r="E20" s="8"/>
      <c r="F20" s="36"/>
      <c r="G20" s="37"/>
      <c r="H20" s="40" cm="1">
        <f t="array" ref="H20">SUMPRODUCT(Tracking[Amount],--(Tracking[Date]&lt;=Tracking[[#This Row],[Date]]),(Tracking[Type]&lt;&gt;"Income")*(1)+(Tracking[Type]="Income"))</f>
        <v>0</v>
      </c>
      <c r="I20" s="42"/>
    </row>
    <row r="21" spans="3:9" x14ac:dyDescent="0.2">
      <c r="C21" s="35"/>
      <c r="D21" s="8"/>
      <c r="E21" s="8"/>
      <c r="F21" s="148"/>
      <c r="G21" s="37"/>
      <c r="H21" s="149" cm="1">
        <f t="array" ref="H21">SUMPRODUCT(Tracking[Amount],--(Tracking[Date]&lt;=Tracking[[#This Row],[Date]]),(Tracking[Type]&lt;&gt;"Income")*(1)+(Tracking[Type]="Income"))</f>
        <v>0</v>
      </c>
      <c r="I21" s="150"/>
    </row>
    <row r="22" spans="3:9" x14ac:dyDescent="0.2">
      <c r="C22" s="35"/>
      <c r="D22" s="8"/>
      <c r="E22" s="8"/>
      <c r="F22" s="148"/>
      <c r="G22" s="37"/>
      <c r="H22" s="149" cm="1">
        <f t="array" ref="H22">SUMPRODUCT(Tracking[Amount],--(Tracking[Date]&lt;=Tracking[[#This Row],[Date]]),(Tracking[Type]&lt;&gt;"Income")*(1)+(Tracking[Type]="Income"))</f>
        <v>0</v>
      </c>
      <c r="I22" s="150"/>
    </row>
    <row r="23" spans="3:9" x14ac:dyDescent="0.2">
      <c r="C23" s="35"/>
      <c r="D23" s="8"/>
      <c r="E23" s="8"/>
      <c r="F23" s="148"/>
      <c r="G23" s="37"/>
      <c r="H23" s="149" cm="1">
        <f t="array" ref="H23">SUMPRODUCT(Tracking[Amount],--(Tracking[Date]&lt;=Tracking[[#This Row],[Date]]),(Tracking[Type]&lt;&gt;"Income")*(1)+(Tracking[Type]="Income"))</f>
        <v>0</v>
      </c>
      <c r="I23" s="150"/>
    </row>
    <row r="24" spans="3:9" x14ac:dyDescent="0.2">
      <c r="C24" s="35"/>
      <c r="D24" s="8"/>
      <c r="E24" s="8"/>
      <c r="F24" s="148"/>
      <c r="G24" s="37"/>
      <c r="H24" s="149" cm="1">
        <f t="array" ref="H24">SUMPRODUCT(Tracking[Amount],--(Tracking[Date]&lt;=Tracking[[#This Row],[Date]]),(Tracking[Type]&lt;&gt;"Income")*(1)+(Tracking[Type]="Income"))</f>
        <v>0</v>
      </c>
      <c r="I24" s="150"/>
    </row>
    <row r="25" spans="3:9" x14ac:dyDescent="0.2">
      <c r="C25" s="35"/>
      <c r="D25" s="8"/>
      <c r="E25" s="8"/>
      <c r="F25" s="148"/>
      <c r="G25" s="37"/>
      <c r="H25" s="149" cm="1">
        <f t="array" ref="H25">SUMPRODUCT(Tracking[Amount],--(Tracking[Date]&lt;=Tracking[[#This Row],[Date]]),(Tracking[Type]&lt;&gt;"Income")*(1)+(Tracking[Type]="Income"))</f>
        <v>0</v>
      </c>
      <c r="I25" s="150"/>
    </row>
    <row r="26" spans="3:9" x14ac:dyDescent="0.2">
      <c r="C26" s="35"/>
      <c r="D26" s="8"/>
      <c r="E26" s="8"/>
      <c r="F26" s="148"/>
      <c r="G26" s="37"/>
      <c r="H26" s="149" cm="1">
        <f t="array" ref="H26">SUMPRODUCT(Tracking[Amount],--(Tracking[Date]&lt;=Tracking[[#This Row],[Date]]),(Tracking[Type]&lt;&gt;"Income")*(1)+(Tracking[Type]="Income"))</f>
        <v>0</v>
      </c>
      <c r="I26" s="150"/>
    </row>
    <row r="27" spans="3:9" x14ac:dyDescent="0.2">
      <c r="C27" s="35"/>
      <c r="D27" s="8"/>
      <c r="E27" s="8"/>
      <c r="F27" s="148"/>
      <c r="G27" s="37"/>
      <c r="H27" s="149" cm="1">
        <f t="array" ref="H27">SUMPRODUCT(Tracking[Amount],--(Tracking[Date]&lt;=Tracking[[#This Row],[Date]]),(Tracking[Type]&lt;&gt;"Income")*(1)+(Tracking[Type]="Income"))</f>
        <v>0</v>
      </c>
      <c r="I27" s="150"/>
    </row>
    <row r="28" spans="3:9" x14ac:dyDescent="0.2">
      <c r="C28" s="35"/>
      <c r="D28" s="8"/>
      <c r="E28" s="8"/>
      <c r="F28" s="148"/>
      <c r="G28" s="37"/>
      <c r="H28" s="149" cm="1">
        <f t="array" ref="H28">SUMPRODUCT(Tracking[Amount],--(Tracking[Date]&lt;=Tracking[[#This Row],[Date]]),(Tracking[Type]&lt;&gt;"Income")*(1)+(Tracking[Type]="Income"))</f>
        <v>0</v>
      </c>
      <c r="I28" s="150"/>
    </row>
  </sheetData>
  <mergeCells count="1">
    <mergeCell ref="A1:D3"/>
  </mergeCells>
  <conditionalFormatting sqref="E12:E20">
    <cfRule type="expression" dxfId="29" priority="3">
      <formula>ISNA(MATCH(E12, INDIRECT(D12),0))</formula>
    </cfRule>
  </conditionalFormatting>
  <conditionalFormatting sqref="F12:F20">
    <cfRule type="expression" dxfId="28" priority="2">
      <formula>D12="Income"</formula>
    </cfRule>
  </conditionalFormatting>
  <conditionalFormatting sqref="I12:I28">
    <cfRule type="expression" dxfId="27" priority="67">
      <formula>AND(#REF!="Income",shift_late_income_status="Active",DAY(#REF!)&gt;=shift_late_income_starting_day)</formula>
    </cfRule>
  </conditionalFormatting>
  <dataValidations count="4">
    <dataValidation type="date" operator="greaterThan" allowBlank="1" showInputMessage="1" showErrorMessage="1" errorTitle="Invalid Date" error="Please enter a valid date." sqref="C15:C20 C12:C14" xr:uid="{FE9A3C32-64E6-4870-A99A-7BFB02C12B88}">
      <formula1>1</formula1>
    </dataValidation>
    <dataValidation type="list" allowBlank="1" showInputMessage="1" showErrorMessage="1" errorTitle="Invalid" error="Please select valid type from drop-down list." sqref="D15:D20 D11:D14" xr:uid="{70C3628D-1EF0-4682-B7BD-C7FD3AC3138D}">
      <formula1>"Income, Expenses, Savings"</formula1>
    </dataValidation>
    <dataValidation type="custom" allowBlank="1" showInputMessage="1" showErrorMessage="1" errorTitle="Invalid Amount" error="Please enter a valid number." sqref="F15:F20 F12:F14" xr:uid="{873F6185-1F04-43B4-AAAE-D2BFED30A63B}">
      <formula1>ISNUMBER(F12)</formula1>
    </dataValidation>
    <dataValidation type="list" allowBlank="1" showInputMessage="1" showErrorMessage="1" sqref="E15:E20 E12:E14" xr:uid="{A0AB1217-B3F6-4C19-81B2-FEDC80FF44E8}">
      <formula1>INDIRECT(D12)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DD89B-9649-47D8-A3DA-0A88655782AF}">
  <dimension ref="A1:AT50"/>
  <sheetViews>
    <sheetView showGridLines="0" topLeftCell="Z10" zoomScale="143" zoomScaleNormal="70" workbookViewId="0">
      <selection activeCell="AT20" sqref="AT20"/>
    </sheetView>
  </sheetViews>
  <sheetFormatPr baseColWidth="10" defaultColWidth="8.83203125" defaultRowHeight="15" x14ac:dyDescent="0.2"/>
  <cols>
    <col min="1" max="1" width="3.1640625" customWidth="1"/>
    <col min="2" max="2" width="3.5" customWidth="1"/>
    <col min="3" max="3" width="5.83203125" hidden="1" customWidth="1"/>
    <col min="4" max="4" width="11.5" hidden="1" customWidth="1"/>
    <col min="5" max="8" width="8.6640625" hidden="1" customWidth="1"/>
    <col min="9" max="9" width="10.5" hidden="1" customWidth="1"/>
    <col min="10" max="10" width="26.83203125" hidden="1" customWidth="1"/>
    <col min="11" max="11" width="17.83203125" hidden="1" customWidth="1"/>
    <col min="12" max="12" width="13.5" hidden="1" customWidth="1"/>
    <col min="13" max="14" width="12.83203125" hidden="1" customWidth="1"/>
    <col min="15" max="15" width="13.5" style="64" hidden="1" customWidth="1"/>
    <col min="16" max="16" width="10" style="64" hidden="1" customWidth="1"/>
    <col min="17" max="17" width="12.5" style="64" hidden="1" customWidth="1"/>
    <col min="18" max="18" width="10" style="64" hidden="1" customWidth="1"/>
    <col min="19" max="21" width="16" style="64" hidden="1" customWidth="1"/>
    <col min="22" max="22" width="24.1640625" style="64" hidden="1" customWidth="1"/>
    <col min="23" max="23" width="16" style="64" hidden="1" customWidth="1"/>
    <col min="24" max="24" width="16.5" hidden="1" customWidth="1"/>
    <col min="25" max="25" width="27.5" customWidth="1"/>
    <col min="26" max="27" width="11.6640625" customWidth="1"/>
    <col min="28" max="28" width="8.5" style="64" customWidth="1"/>
    <col min="29" max="30" width="11.6640625" style="64" customWidth="1"/>
    <col min="32" max="32" width="15.5" customWidth="1"/>
    <col min="33" max="33" width="13.1640625" customWidth="1"/>
    <col min="34" max="34" width="1.83203125" customWidth="1"/>
    <col min="35" max="35" width="25.83203125" customWidth="1"/>
    <col min="36" max="36" width="8.1640625" customWidth="1"/>
    <col min="37" max="37" width="5.5" customWidth="1"/>
    <col min="38" max="38" width="3.5" customWidth="1"/>
    <col min="39" max="40" width="15.5" customWidth="1"/>
    <col min="41" max="41" width="1.83203125" customWidth="1"/>
    <col min="42" max="42" width="25.83203125" customWidth="1"/>
    <col min="43" max="43" width="8.1640625" customWidth="1"/>
    <col min="44" max="44" width="5.5" customWidth="1"/>
  </cols>
  <sheetData>
    <row r="1" spans="1:46" s="137" customFormat="1" ht="7.5" customHeight="1" x14ac:dyDescent="0.2">
      <c r="B1" s="135"/>
      <c r="C1" s="135"/>
      <c r="O1" s="139"/>
      <c r="P1" s="139"/>
      <c r="Q1" s="139"/>
      <c r="R1" s="139"/>
      <c r="S1" s="139"/>
      <c r="T1" s="139"/>
      <c r="U1" s="139"/>
      <c r="V1" s="139"/>
      <c r="W1" s="139"/>
      <c r="AB1" s="139"/>
      <c r="AC1" s="139"/>
      <c r="AD1" s="139"/>
    </row>
    <row r="2" spans="1:46" s="137" customFormat="1" ht="36.5" customHeight="1" x14ac:dyDescent="0.5">
      <c r="B2" s="135"/>
      <c r="C2" s="135"/>
      <c r="O2" s="139"/>
      <c r="P2" s="139"/>
      <c r="Q2" s="139"/>
      <c r="R2" s="139"/>
      <c r="S2" s="139"/>
      <c r="T2" s="139"/>
      <c r="U2" s="139"/>
      <c r="V2" s="139"/>
      <c r="W2" s="139"/>
      <c r="Y2" s="135" t="s">
        <v>39</v>
      </c>
      <c r="AB2" s="139"/>
      <c r="AC2" s="139"/>
      <c r="AD2" s="139"/>
      <c r="AM2" s="140"/>
    </row>
    <row r="3" spans="1:46" s="137" customFormat="1" ht="5.5" customHeight="1" x14ac:dyDescent="0.2">
      <c r="A3" s="135"/>
      <c r="B3" s="135"/>
      <c r="C3" s="135"/>
      <c r="O3" s="139"/>
      <c r="P3" s="139"/>
      <c r="Q3" s="139"/>
      <c r="R3" s="139"/>
      <c r="S3" s="139"/>
      <c r="T3" s="139"/>
      <c r="U3" s="139"/>
      <c r="V3" s="139"/>
      <c r="W3" s="139"/>
      <c r="AB3" s="139"/>
      <c r="AC3" s="139"/>
      <c r="AD3" s="139"/>
    </row>
    <row r="5" spans="1:46" x14ac:dyDescent="0.2">
      <c r="AQ5" s="123" t="s">
        <v>40</v>
      </c>
      <c r="AR5" s="124"/>
    </row>
    <row r="6" spans="1:46" x14ac:dyDescent="0.2">
      <c r="AN6" s="126" t="s">
        <v>41</v>
      </c>
      <c r="AO6" s="126"/>
      <c r="AP6" s="126"/>
      <c r="AQ6" s="125">
        <v>2026</v>
      </c>
      <c r="AR6" s="125"/>
      <c r="AT6" s="54"/>
    </row>
    <row r="8" spans="1:46" x14ac:dyDescent="0.2">
      <c r="AQ8" s="123" t="s">
        <v>42</v>
      </c>
      <c r="AR8" s="124"/>
    </row>
    <row r="9" spans="1:46" x14ac:dyDescent="0.2">
      <c r="AN9" s="126" t="s">
        <v>43</v>
      </c>
      <c r="AO9" s="126"/>
      <c r="AP9" s="126"/>
      <c r="AQ9" s="122">
        <v>36526</v>
      </c>
      <c r="AR9" s="122"/>
    </row>
    <row r="11" spans="1:46" x14ac:dyDescent="0.2"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63"/>
      <c r="P11" s="63"/>
      <c r="Q11" s="63"/>
      <c r="R11" s="63"/>
      <c r="S11" s="63"/>
      <c r="T11" s="63"/>
      <c r="U11" s="63"/>
      <c r="V11" s="63"/>
      <c r="W11" s="63"/>
      <c r="X11" s="29"/>
      <c r="Y11" s="141" t="str">
        <f>"Breakdown - " &amp;
IF(selected_period="Total Year",
   selected_year &amp; " (Total Year)",
   selected_period_display &amp; " " &amp; selected_year)</f>
        <v>Breakdown - January 2026</v>
      </c>
      <c r="Z11" s="141"/>
      <c r="AA11" s="141"/>
      <c r="AB11" s="141"/>
      <c r="AC11" s="141"/>
      <c r="AD11" s="141"/>
      <c r="AF11" s="142" t="str">
        <f>"Summary - " &amp;
IF(selected_period="Total Year",
   selected_year &amp; " (Total Year)",
   selected_period_display &amp; " " &amp; selected_year)</f>
        <v>Summary - January 2026</v>
      </c>
      <c r="AG11" s="142"/>
      <c r="AH11" s="142"/>
      <c r="AI11" s="142"/>
      <c r="AJ11" s="142"/>
      <c r="AK11" s="142"/>
      <c r="AL11" s="142"/>
      <c r="AM11" s="142"/>
      <c r="AN11" s="142"/>
      <c r="AO11" s="142"/>
      <c r="AP11" s="142"/>
      <c r="AQ11" s="142"/>
      <c r="AR11" s="142"/>
    </row>
    <row r="12" spans="1:46" x14ac:dyDescent="0.2">
      <c r="C12" s="59" t="s">
        <v>44</v>
      </c>
      <c r="D12" s="58" t="s">
        <v>45</v>
      </c>
      <c r="E12" s="59" t="s">
        <v>46</v>
      </c>
      <c r="F12" s="58" t="s">
        <v>47</v>
      </c>
      <c r="G12" s="58" t="s">
        <v>48</v>
      </c>
      <c r="H12" s="58" t="s">
        <v>49</v>
      </c>
      <c r="I12" s="59" t="s">
        <v>50</v>
      </c>
      <c r="J12" s="58" t="s">
        <v>51</v>
      </c>
      <c r="K12" s="58" t="s">
        <v>52</v>
      </c>
      <c r="L12" s="60" t="s">
        <v>53</v>
      </c>
      <c r="M12" s="59" t="s">
        <v>54</v>
      </c>
      <c r="N12" s="60" t="s">
        <v>55</v>
      </c>
      <c r="O12" s="59" t="s">
        <v>56</v>
      </c>
      <c r="P12" s="58" t="s">
        <v>57</v>
      </c>
      <c r="Q12" s="58" t="s">
        <v>58</v>
      </c>
      <c r="R12" s="60" t="s">
        <v>59</v>
      </c>
      <c r="S12" s="59" t="s">
        <v>60</v>
      </c>
      <c r="T12" s="58" t="s">
        <v>61</v>
      </c>
      <c r="U12" s="58" t="s">
        <v>62</v>
      </c>
      <c r="V12" s="58" t="s">
        <v>63</v>
      </c>
      <c r="W12" s="60" t="s">
        <v>64</v>
      </c>
      <c r="X12" s="67" t="s">
        <v>65</v>
      </c>
      <c r="Y12" s="71"/>
      <c r="Z12" s="69"/>
      <c r="AA12" s="69"/>
      <c r="AB12" s="69"/>
      <c r="AC12" s="69"/>
      <c r="AD12" s="69"/>
    </row>
    <row r="13" spans="1:46" x14ac:dyDescent="0.2">
      <c r="C13" s="30" cm="1">
        <f t="array" ref="C13">income_header_row</f>
        <v>9</v>
      </c>
      <c r="D13">
        <f t="shared" ref="D13:D50" si="0">IF(is_header,row_id,
   IF(NOT(is_empty),D12,-1))</f>
        <v>9</v>
      </c>
      <c r="E13" s="30" cm="1">
        <f t="array" ref="E13">1*OR(row_id=income_header_row,row_id=expenses_header_row,row_id=savings_header_row)</f>
        <v>1</v>
      </c>
      <c r="F13">
        <f t="shared" ref="F13:F50" si="1">1*NOT(OR(is_header,is_total,is_empty))</f>
        <v>0</v>
      </c>
      <c r="G13" cm="1">
        <f t="array" ref="G13">1*OR(row_id=income_total_row,row_id=expenses_total_row,row_id=savings_total_row)</f>
        <v>0</v>
      </c>
      <c r="H13">
        <f t="shared" ref="H13:H50" si="2">1*OR(row_id="/1",row_id="/2",row_id=-1)</f>
        <v>0</v>
      </c>
      <c r="I13" s="30" t="str" cm="1">
        <f t="array" ref="I13">IFERROR(INDEX('Budget Planning'!$C:$C,header_row_id),"")</f>
        <v>Income</v>
      </c>
      <c r="J13" t="str" cm="1">
        <f t="array" ref="J13">IFERROR(INDEX('Budget Planning'!$C:$C,row_id),"")</f>
        <v>Income</v>
      </c>
      <c r="K13" s="61" t="str" cm="1">
        <f t="array" ref="K13">IF(OR(is_header,is_empty),"",
   IF(is_total,
     IF(selected_period="Total Year",
    SUM(Tracking[Amount]*(Tracking[Type]=type)*(YEAR(Tracking[Effective Date])=selected_year)),
    SUM(Tracking[Amount]*(Tracking[Type]=type)*(YEAR(Tracking[Effective Date])=selected_year)*(MONTH(Tracking[Effective Date])=selected_period))),
   IF(selected_period="Total Year",
    SUM(Tracking[Amount]*(Tracking[Type]=type)*(Tracking[Category]=item)*(YEAR(Tracking[Effective Date])=selected_year)),
    SUM(Tracking[Amount]*(Tracking[Type]=type)*(Tracking[Category]=item)*(YEAR(Tracking[Effective Date])=selected_year)*(MONTH(Tracking[Effective Date])=selected_period)))
 )
)</f>
        <v/>
      </c>
      <c r="L13" s="62" t="str" cm="1">
        <f t="array" ref="L13">IF(OR(is_header,is_empty),"",
   INDEX('Budget Planning'!$E:$BU,row_id,
        MATCH(IF(selected_period="Total Year",selected_year,DATE(selected_year,selected_period,1)),'Budget Planning'!$E$9:$BU$9,0)))</f>
        <v/>
      </c>
      <c r="M13" s="30" t="str" cm="1">
        <f t="array" ref="M13">IF(is_cat,
   IF(header_row_id=income_header_row,MATCH(income_min_row,$C:$C,0),
   IF(header_row_id=expenses_header_row,MATCH(expenses_min_row,$C:$C,0),
   IF(header_row_id=savings_header_row,MATCH(savings_min_row,$C:$C,0),""))),"")</f>
        <v/>
      </c>
      <c r="N13" s="31" t="str" cm="1">
        <f t="array" ref="N13">IF(is_cat,
   IF(header_row_id=income_header_row,MATCH(income_max_row,$C:$C,0),
   IF(header_row_id=expenses_header_row,MATCH(expenses_max_row,$C:$C,0),
   IF(header_row_id=savings_header_row,MATCH(savings_max_row,$C:$C,0),""))),"")</f>
        <v/>
      </c>
      <c r="O13" s="65" t="str">
        <f t="shared" ref="O13:O50" si="3">IF(is_cat,ADDRESS(sort_min_row,COLUMN(tracked)) &amp;":"&amp; ADDRESS(sort_max_row,COLUMN(tracked)),"")</f>
        <v/>
      </c>
      <c r="P13" s="64" t="str">
        <f t="shared" ref="P13:P50" ca="1" si="4">IF(is_cat, RANK(tracked,INDIRECT(tracked_range),0),"")</f>
        <v/>
      </c>
      <c r="Q13" s="64" t="str">
        <f t="shared" ref="Q13:Q50" si="5">IF(is_cat,ADDRESS(sort_min_row,COLUMN(budget)) &amp;":"&amp; ADDRESS(sort_max_row,COLUMN(budget)),"")</f>
        <v/>
      </c>
      <c r="R13" s="66" t="str">
        <f t="shared" ref="R13:R50" ca="1" si="6">IF(is_cat,RANK(budget,INDIRECT(budget_range),0),"")</f>
        <v/>
      </c>
      <c r="S13" s="64" t="str">
        <f t="shared" ref="S13:S50" si="7">IF(is_cat,_xlfn.NUMBERVALUE(tracked_rank&amp;budget_rank),"")</f>
        <v/>
      </c>
      <c r="T13" s="64" t="str">
        <f t="shared" ref="T13:T50" si="8">IF(is_cat,ADDRESS(sort_min_row,COLUMN(comb_rank)) &amp;":"&amp; ADDRESS(sort_max_row,COLUMN(comb_rank)),"")</f>
        <v/>
      </c>
      <c r="U13" s="64" t="str">
        <f t="shared" ref="U13:U50" ca="1" si="9">IF(is_cat,RANK(comb_rank,INDIRECT(comb_rank_range),1),"")</f>
        <v/>
      </c>
      <c r="V13" s="64" t="str">
        <f t="shared" ref="V13:V50" si="10">IF(is_cat,ADDRESS(sort_min_row,COLUMN(comb_rank_norm)) &amp;":"&amp; ADDRESS(ROW(),COLUMN(comb_rank_norm)),"")</f>
        <v/>
      </c>
      <c r="W13" s="66" t="str">
        <f t="shared" ref="W13:W50" ca="1" si="11">IF(is_cat,comb_rank_norm+COUNTIF(INDIRECT(comb_rank_norm_run_range),comb_rank_norm)-1,"")</f>
        <v/>
      </c>
      <c r="X13" s="68">
        <f t="shared" ref="X13:X50" si="12">IF(is_cat,header_row_id+comb_rank_unique,row_id)</f>
        <v>9</v>
      </c>
      <c r="Y13" s="91" t="str">
        <f t="shared" ref="Y13:Y50" si="13">IF(is_empty,"",INDEX($J:$J,MATCH(row_id,$X:$X,0)))</f>
        <v>Income</v>
      </c>
      <c r="Z13" s="72" t="str">
        <f t="shared" ref="Z13:Z50" si="14">IF(is_empty,"",IF(is_header,"Tracked",INDEX($K:$K,MATCH(row_id,$X:$X,0))))</f>
        <v>Tracked</v>
      </c>
      <c r="AA13" s="72" t="str">
        <f t="shared" ref="AA13:AA50" si="15">IF(is_empty,"",IF(is_header,"Budget",INDEX($L:$L,MATCH(row_id,$X:$X,0))))</f>
        <v>Budget</v>
      </c>
      <c r="AB13" s="70" t="str">
        <f t="shared" ref="AB13:AB50" si="16">IF(is_empty,"",IF(is_header,"% Compl.",IFERROR(out_tracked/out_budget,"-")))</f>
        <v>% Compl.</v>
      </c>
      <c r="AC13" s="72" t="str">
        <f t="shared" ref="AC13:AC50" si="17">IF(is_empty,"",IF(is_header,"Remaining",IF(out_budget-out_tracked&gt;0,out_budget-out_tracked,0)))</f>
        <v>Remaining</v>
      </c>
      <c r="AD13" s="72" t="str">
        <f t="shared" ref="AD13:AD50" si="18">IF(is_empty,"",IF(is_header,"Excess",IF(out_budget-out_tracked&lt;0,out_tracked-out_budget,0)))</f>
        <v>Excess</v>
      </c>
      <c r="AF13" s="75"/>
      <c r="AG13" s="76"/>
      <c r="AH13" s="76"/>
      <c r="AI13" s="76"/>
      <c r="AJ13" s="76"/>
      <c r="AK13" s="77"/>
      <c r="AM13" s="75"/>
      <c r="AN13" s="76"/>
      <c r="AO13" s="76"/>
      <c r="AP13" s="76"/>
      <c r="AQ13" s="76"/>
      <c r="AR13" s="77"/>
    </row>
    <row r="14" spans="1:46" x14ac:dyDescent="0.2">
      <c r="C14" s="30" cm="1">
        <f t="array" ref="C14">IF(C13=-1,-1,
IF(C13&lt;income_max_row,C13+1,
IF(C13=income_max_row,income_total_row,
IF(C13=income_total_row,"/1",
IF(C13="/1",expenses_header_row,
IF(C13&lt;expenses_max_row,C13+1,
IF(C13=expenses_max_row,expenses_total_row,
IF(C13=expenses_total_row,"/2",
IF(C13="/2",savings_header_row,
IF(C13&lt;savings_max_row,C13+1,
IF(C13=savings_max_row,savings_total_row,-1)))))))))))</f>
        <v>10</v>
      </c>
      <c r="D14">
        <f t="shared" si="0"/>
        <v>9</v>
      </c>
      <c r="E14" s="30" cm="1">
        <f t="array" ref="E14">1*OR(row_id=income_header_row,row_id=expenses_header_row,row_id=savings_header_row)</f>
        <v>0</v>
      </c>
      <c r="F14">
        <f t="shared" si="1"/>
        <v>1</v>
      </c>
      <c r="G14" cm="1">
        <f t="array" ref="G14">1*OR(row_id=income_total_row,row_id=expenses_total_row,row_id=savings_total_row)</f>
        <v>0</v>
      </c>
      <c r="H14">
        <f t="shared" si="2"/>
        <v>0</v>
      </c>
      <c r="I14" s="30" t="str" cm="1">
        <f t="array" ref="I14">IFERROR(INDEX('Budget Planning'!$C:$C,header_row_id),"")</f>
        <v>Income</v>
      </c>
      <c r="J14" t="str" cm="1">
        <f t="array" ref="J14">IFERROR(INDEX('Budget Planning'!$C:$C,row_id),"")</f>
        <v>Commissions (Net)</v>
      </c>
      <c r="K14" s="61" cm="1">
        <f t="array" ref="K14">IF(OR(is_header,is_empty),"",
   IF(is_total,
     IF(selected_period="Total Year",
    SUM(Tracking[Amount]*(Tracking[Type]=type)*(YEAR(Tracking[Effective Date])=selected_year)),
    SUM(Tracking[Amount]*(Tracking[Type]=type)*(YEAR(Tracking[Effective Date])=selected_year)*(MONTH(Tracking[Effective Date])=selected_period))),
   IF(selected_period="Total Year",
    SUM(Tracking[Amount]*(Tracking[Type]=type)*(Tracking[Category]=item)*(YEAR(Tracking[Effective Date])=selected_year)),
    SUM(Tracking[Amount]*(Tracking[Type]=type)*(Tracking[Category]=item)*(YEAR(Tracking[Effective Date])=selected_year)*(MONTH(Tracking[Effective Date])=selected_period)))
 )
)</f>
        <v>0</v>
      </c>
      <c r="L14" s="62" cm="1">
        <f t="array" ref="L14">IF(OR(is_header,is_empty),"",
   INDEX('Budget Planning'!$E:$BU,row_id,
        MATCH(IF(selected_period="Total Year",selected_year,DATE(selected_year,selected_period,1)),'Budget Planning'!$E$9:$BU$9,0)))</f>
        <v>0</v>
      </c>
      <c r="M14" s="30" cm="1">
        <f t="array" ref="M14">IF(is_cat,
   IF(header_row_id=income_header_row,MATCH(income_min_row,$C:$C,0),
   IF(header_row_id=expenses_header_row,MATCH(expenses_min_row,$C:$C,0),
   IF(header_row_id=savings_header_row,MATCH(savings_min_row,$C:$C,0),""))),"")</f>
        <v>14</v>
      </c>
      <c r="N14" s="31" cm="1">
        <f t="array" ref="N14">IF(is_cat,
   IF(header_row_id=income_header_row,MATCH(income_max_row,$C:$C,0),
   IF(header_row_id=expenses_header_row,MATCH(expenses_max_row,$C:$C,0),
   IF(header_row_id=savings_header_row,MATCH(savings_max_row,$C:$C,0),""))),"")</f>
        <v>14</v>
      </c>
      <c r="O14" s="65" t="str">
        <f t="shared" si="3"/>
        <v>$K$14:$K$14</v>
      </c>
      <c r="P14" s="64">
        <f t="shared" ca="1" si="4"/>
        <v>1</v>
      </c>
      <c r="Q14" s="64" t="str">
        <f t="shared" si="5"/>
        <v>$L$14:$L$14</v>
      </c>
      <c r="R14" s="66">
        <f t="shared" ca="1" si="6"/>
        <v>1</v>
      </c>
      <c r="S14" s="64">
        <f t="shared" ca="1" si="7"/>
        <v>11</v>
      </c>
      <c r="T14" s="64" t="str">
        <f t="shared" si="8"/>
        <v>$S$14:$S$14</v>
      </c>
      <c r="U14" s="64">
        <f t="shared" ca="1" si="9"/>
        <v>1</v>
      </c>
      <c r="V14" s="64" t="str">
        <f t="shared" si="10"/>
        <v>$U$14:$U$14</v>
      </c>
      <c r="W14" s="66">
        <f t="shared" ca="1" si="11"/>
        <v>1</v>
      </c>
      <c r="X14" s="68">
        <f t="shared" ca="1" si="12"/>
        <v>10</v>
      </c>
      <c r="Y14" s="71" t="str">
        <f t="shared" ca="1" si="13"/>
        <v>Commissions (Net)</v>
      </c>
      <c r="Z14" s="72">
        <f t="shared" ca="1" si="14"/>
        <v>0</v>
      </c>
      <c r="AA14" s="72">
        <f t="shared" ca="1" si="15"/>
        <v>0</v>
      </c>
      <c r="AB14" s="70" t="str">
        <f t="shared" ca="1" si="16"/>
        <v>-</v>
      </c>
      <c r="AC14" s="72">
        <f t="shared" ca="1" si="17"/>
        <v>0</v>
      </c>
      <c r="AD14" s="72">
        <f t="shared" ca="1" si="18"/>
        <v>0</v>
      </c>
      <c r="AF14" s="30"/>
      <c r="AK14" s="31"/>
      <c r="AM14" s="30"/>
      <c r="AR14" s="31"/>
    </row>
    <row r="15" spans="1:46" x14ac:dyDescent="0.2">
      <c r="C15" s="30" cm="1">
        <f t="array" ref="C15">IF(C14=-1,-1,
IF(C14&lt;income_max_row,C14+1,
IF(C14=income_max_row,income_total_row,
IF(C14=income_total_row,"/1",
IF(C14="/1",expenses_header_row,
IF(C14&lt;expenses_max_row,C14+1,
IF(C14=expenses_max_row,expenses_total_row,
IF(C14=expenses_total_row,"/2",
IF(C14="/2",savings_header_row,
IF(C14&lt;savings_max_row,C14+1,
IF(C14=savings_max_row,savings_total_row,-1)))))))))))</f>
        <v>19</v>
      </c>
      <c r="D15">
        <f t="shared" si="0"/>
        <v>9</v>
      </c>
      <c r="E15" s="30" cm="1">
        <f t="array" ref="E15">1*OR(row_id=income_header_row,row_id=expenses_header_row,row_id=savings_header_row)</f>
        <v>0</v>
      </c>
      <c r="F15">
        <f t="shared" si="1"/>
        <v>0</v>
      </c>
      <c r="G15" cm="1">
        <f t="array" ref="G15">1*OR(row_id=income_total_row,row_id=expenses_total_row,row_id=savings_total_row)</f>
        <v>1</v>
      </c>
      <c r="H15">
        <f t="shared" si="2"/>
        <v>0</v>
      </c>
      <c r="I15" s="30" t="str" cm="1">
        <f t="array" ref="I15">IFERROR(INDEX('Budget Planning'!$C:$C,header_row_id),"")</f>
        <v>Income</v>
      </c>
      <c r="J15" t="str" cm="1">
        <f t="array" ref="J15">IFERROR(INDEX('Budget Planning'!$C:$C,row_id),"")</f>
        <v>Total</v>
      </c>
      <c r="K15" s="61" cm="1">
        <f t="array" ref="K15">IF(OR(is_header,is_empty),"",
   IF(is_total,
     IF(selected_period="Total Year",
    SUM(Tracking[Amount]*(Tracking[Type]=type)*(YEAR(Tracking[Effective Date])=selected_year)),
    SUM(Tracking[Amount]*(Tracking[Type]=type)*(YEAR(Tracking[Effective Date])=selected_year)*(MONTH(Tracking[Effective Date])=selected_period))),
   IF(selected_period="Total Year",
    SUM(Tracking[Amount]*(Tracking[Type]=type)*(Tracking[Category]=item)*(YEAR(Tracking[Effective Date])=selected_year)),
    SUM(Tracking[Amount]*(Tracking[Type]=type)*(Tracking[Category]=item)*(YEAR(Tracking[Effective Date])=selected_year)*(MONTH(Tracking[Effective Date])=selected_period)))
 )
)</f>
        <v>0</v>
      </c>
      <c r="L15" s="62" cm="1">
        <f t="array" aca="1" ref="L15" ca="1">IF(OR(is_header,is_empty),"",
   INDEX('Budget Planning'!$E:$BU,row_id,
        MATCH(IF(selected_period="Total Year",selected_year,DATE(selected_year,selected_period,1)),'Budget Planning'!$E$9:$BU$9,0)))</f>
        <v>0</v>
      </c>
      <c r="M15" s="30" t="str" cm="1">
        <f t="array" ref="M15">IF(is_cat,
   IF(header_row_id=income_header_row,MATCH(income_min_row,$C:$C,0),
   IF(header_row_id=expenses_header_row,MATCH(expenses_min_row,$C:$C,0),
   IF(header_row_id=savings_header_row,MATCH(savings_min_row,$C:$C,0),""))),"")</f>
        <v/>
      </c>
      <c r="N15" s="31" t="str" cm="1">
        <f t="array" ref="N15">IF(is_cat,
   IF(header_row_id=income_header_row,MATCH(income_max_row,$C:$C,0),
   IF(header_row_id=expenses_header_row,MATCH(expenses_max_row,$C:$C,0),
   IF(header_row_id=savings_header_row,MATCH(savings_max_row,$C:$C,0),""))),"")</f>
        <v/>
      </c>
      <c r="O15" s="65" t="str">
        <f t="shared" si="3"/>
        <v/>
      </c>
      <c r="P15" s="64" t="str">
        <f t="shared" ca="1" si="4"/>
        <v/>
      </c>
      <c r="Q15" s="64" t="str">
        <f t="shared" si="5"/>
        <v/>
      </c>
      <c r="R15" s="66" t="str">
        <f t="shared" ca="1" si="6"/>
        <v/>
      </c>
      <c r="S15" s="64" t="str">
        <f t="shared" si="7"/>
        <v/>
      </c>
      <c r="T15" s="64" t="str">
        <f t="shared" si="8"/>
        <v/>
      </c>
      <c r="U15" s="64" t="str">
        <f t="shared" ca="1" si="9"/>
        <v/>
      </c>
      <c r="V15" s="64" t="str">
        <f t="shared" si="10"/>
        <v/>
      </c>
      <c r="W15" s="66" t="str">
        <f t="shared" ca="1" si="11"/>
        <v/>
      </c>
      <c r="X15" s="68">
        <f t="shared" si="12"/>
        <v>19</v>
      </c>
      <c r="Y15" s="71" t="str">
        <f t="shared" ca="1" si="13"/>
        <v>Total</v>
      </c>
      <c r="Z15" s="72">
        <f t="shared" ca="1" si="14"/>
        <v>0</v>
      </c>
      <c r="AA15" s="72">
        <f t="shared" ca="1" si="15"/>
        <v>0</v>
      </c>
      <c r="AB15" s="70" t="str">
        <f t="shared" ca="1" si="16"/>
        <v>-</v>
      </c>
      <c r="AC15" s="72">
        <f t="shared" ca="1" si="17"/>
        <v>0</v>
      </c>
      <c r="AD15" s="72">
        <f t="shared" ca="1" si="18"/>
        <v>0</v>
      </c>
      <c r="AF15" s="30"/>
      <c r="AK15" s="31"/>
      <c r="AM15" s="30"/>
      <c r="AR15" s="31"/>
    </row>
    <row r="16" spans="1:46" x14ac:dyDescent="0.2">
      <c r="C16" s="30" t="str" cm="1">
        <f t="array" ref="C16">IF(C15=-1,-1,
IF(C15&lt;income_max_row,C15+1,
IF(C15=income_max_row,income_total_row,
IF(C15=income_total_row,"/1",
IF(C15="/1",expenses_header_row,
IF(C15&lt;expenses_max_row,C15+1,
IF(C15=expenses_max_row,expenses_total_row,
IF(C15=expenses_total_row,"/2",
IF(C15="/2",savings_header_row,
IF(C15&lt;savings_max_row,C15+1,
IF(C15=savings_max_row,savings_total_row,-1)))))))))))</f>
        <v>/1</v>
      </c>
      <c r="D16">
        <f t="shared" si="0"/>
        <v>-1</v>
      </c>
      <c r="E16" s="30" cm="1">
        <f t="array" ref="E16">1*OR(row_id=income_header_row,row_id=expenses_header_row,row_id=savings_header_row)</f>
        <v>0</v>
      </c>
      <c r="F16">
        <f t="shared" si="1"/>
        <v>0</v>
      </c>
      <c r="G16" cm="1">
        <f t="array" ref="G16">1*OR(row_id=income_total_row,row_id=expenses_total_row,row_id=savings_total_row)</f>
        <v>0</v>
      </c>
      <c r="H16">
        <f t="shared" si="2"/>
        <v>1</v>
      </c>
      <c r="I16" s="30" t="str" cm="1">
        <f t="array" ref="I16">IFERROR(INDEX('Budget Planning'!$C:$C,header_row_id),"")</f>
        <v/>
      </c>
      <c r="J16" t="str" cm="1">
        <f t="array" ref="J16">IFERROR(INDEX('Budget Planning'!$C:$C,row_id),"")</f>
        <v/>
      </c>
      <c r="K16" s="61" t="str" cm="1">
        <f t="array" ref="K16">IF(OR(is_header,is_empty),"",
   IF(is_total,
     IF(selected_period="Total Year",
    SUM(Tracking[Amount]*(Tracking[Type]=type)*(YEAR(Tracking[Effective Date])=selected_year)),
    SUM(Tracking[Amount]*(Tracking[Type]=type)*(YEAR(Tracking[Effective Date])=selected_year)*(MONTH(Tracking[Effective Date])=selected_period))),
   IF(selected_period="Total Year",
    SUM(Tracking[Amount]*(Tracking[Type]=type)*(Tracking[Category]=item)*(YEAR(Tracking[Effective Date])=selected_year)),
    SUM(Tracking[Amount]*(Tracking[Type]=type)*(Tracking[Category]=item)*(YEAR(Tracking[Effective Date])=selected_year)*(MONTH(Tracking[Effective Date])=selected_period)))
 )
)</f>
        <v/>
      </c>
      <c r="L16" s="62" t="str" cm="1">
        <f t="array" ref="L16">IF(OR(is_header,is_empty),"",
   INDEX('Budget Planning'!$E:$BU,row_id,
        MATCH(IF(selected_period="Total Year",selected_year,DATE(selected_year,selected_period,1)),'Budget Planning'!$E$9:$BU$9,0)))</f>
        <v/>
      </c>
      <c r="M16" s="30" t="str" cm="1">
        <f t="array" ref="M16">IF(is_cat,
   IF(header_row_id=income_header_row,MATCH(income_min_row,$C:$C,0),
   IF(header_row_id=expenses_header_row,MATCH(expenses_min_row,$C:$C,0),
   IF(header_row_id=savings_header_row,MATCH(savings_min_row,$C:$C,0),""))),"")</f>
        <v/>
      </c>
      <c r="N16" s="31" t="str" cm="1">
        <f t="array" ref="N16">IF(is_cat,
   IF(header_row_id=income_header_row,MATCH(income_max_row,$C:$C,0),
   IF(header_row_id=expenses_header_row,MATCH(expenses_max_row,$C:$C,0),
   IF(header_row_id=savings_header_row,MATCH(savings_max_row,$C:$C,0),""))),"")</f>
        <v/>
      </c>
      <c r="O16" s="65" t="str">
        <f t="shared" si="3"/>
        <v/>
      </c>
      <c r="P16" s="64" t="str">
        <f t="shared" ca="1" si="4"/>
        <v/>
      </c>
      <c r="Q16" s="64" t="str">
        <f t="shared" si="5"/>
        <v/>
      </c>
      <c r="R16" s="66" t="str">
        <f t="shared" ca="1" si="6"/>
        <v/>
      </c>
      <c r="S16" s="64" t="str">
        <f t="shared" si="7"/>
        <v/>
      </c>
      <c r="T16" s="64" t="str">
        <f t="shared" si="8"/>
        <v/>
      </c>
      <c r="U16" s="64" t="str">
        <f t="shared" ca="1" si="9"/>
        <v/>
      </c>
      <c r="V16" s="64" t="str">
        <f t="shared" si="10"/>
        <v/>
      </c>
      <c r="W16" s="66" t="str">
        <f t="shared" ca="1" si="11"/>
        <v/>
      </c>
      <c r="X16" s="68" t="str">
        <f t="shared" si="12"/>
        <v>/1</v>
      </c>
      <c r="Y16" s="71" t="str">
        <f t="shared" si="13"/>
        <v/>
      </c>
      <c r="Z16" s="72" t="str">
        <f t="shared" si="14"/>
        <v/>
      </c>
      <c r="AA16" s="72" t="str">
        <f t="shared" si="15"/>
        <v/>
      </c>
      <c r="AB16" s="70" t="str">
        <f t="shared" si="16"/>
        <v/>
      </c>
      <c r="AC16" s="72" t="str">
        <f t="shared" si="17"/>
        <v/>
      </c>
      <c r="AD16" s="72" t="str">
        <f t="shared" si="18"/>
        <v/>
      </c>
      <c r="AF16" s="30"/>
      <c r="AI16" s="87" t="str">
        <f ca="1">Calculations!E35</f>
        <v/>
      </c>
      <c r="AJ16" s="88" t="str">
        <f ca="1">Calculations!F35</f>
        <v/>
      </c>
      <c r="AK16" s="31"/>
      <c r="AM16" s="30"/>
      <c r="AR16" s="31"/>
    </row>
    <row r="17" spans="3:44" x14ac:dyDescent="0.2">
      <c r="C17" s="30" cm="1">
        <f t="array" ref="C17">IF(C16=-1,-1,
IF(C16&lt;income_max_row,C16+1,
IF(C16=income_max_row,income_total_row,
IF(C16=income_total_row,"/1",
IF(C16="/1",expenses_header_row,
IF(C16&lt;expenses_max_row,C16+1,
IF(C16=expenses_max_row,expenses_total_row,
IF(C16=expenses_total_row,"/2",
IF(C16="/2",savings_header_row,
IF(C16&lt;savings_max_row,C16+1,
IF(C16=savings_max_row,savings_total_row,-1)))))))))))</f>
        <v>21</v>
      </c>
      <c r="D17">
        <f t="shared" si="0"/>
        <v>21</v>
      </c>
      <c r="E17" s="30" cm="1">
        <f t="array" ref="E17">1*OR(row_id=income_header_row,row_id=expenses_header_row,row_id=savings_header_row)</f>
        <v>1</v>
      </c>
      <c r="F17">
        <f t="shared" si="1"/>
        <v>0</v>
      </c>
      <c r="G17" cm="1">
        <f t="array" ref="G17">1*OR(row_id=income_total_row,row_id=expenses_total_row,row_id=savings_total_row)</f>
        <v>0</v>
      </c>
      <c r="H17">
        <f t="shared" si="2"/>
        <v>0</v>
      </c>
      <c r="I17" s="30" t="str" cm="1">
        <f t="array" ref="I17">IFERROR(INDEX('Budget Planning'!$C:$C,header_row_id),"")</f>
        <v>Expenses</v>
      </c>
      <c r="J17" t="str" cm="1">
        <f t="array" ref="J17">IFERROR(INDEX('Budget Planning'!$C:$C,row_id),"")</f>
        <v>Expenses</v>
      </c>
      <c r="K17" s="61" t="str" cm="1">
        <f t="array" ref="K17">IF(OR(is_header,is_empty),"",
   IF(is_total,
     IF(selected_period="Total Year",
    SUM(Tracking[Amount]*(Tracking[Type]=type)*(YEAR(Tracking[Effective Date])=selected_year)),
    SUM(Tracking[Amount]*(Tracking[Type]=type)*(YEAR(Tracking[Effective Date])=selected_year)*(MONTH(Tracking[Effective Date])=selected_period))),
   IF(selected_period="Total Year",
    SUM(Tracking[Amount]*(Tracking[Type]=type)*(Tracking[Category]=item)*(YEAR(Tracking[Effective Date])=selected_year)),
    SUM(Tracking[Amount]*(Tracking[Type]=type)*(Tracking[Category]=item)*(YEAR(Tracking[Effective Date])=selected_year)*(MONTH(Tracking[Effective Date])=selected_period)))
 )
)</f>
        <v/>
      </c>
      <c r="L17" s="62" t="str" cm="1">
        <f t="array" ref="L17">IF(OR(is_header,is_empty),"",
   INDEX('Budget Planning'!$E:$BU,row_id,
        MATCH(IF(selected_period="Total Year",selected_year,DATE(selected_year,selected_period,1)),'Budget Planning'!$E$9:$BU$9,0)))</f>
        <v/>
      </c>
      <c r="M17" s="30" t="str" cm="1">
        <f t="array" ref="M17">IF(is_cat,
   IF(header_row_id=income_header_row,MATCH(income_min_row,$C:$C,0),
   IF(header_row_id=expenses_header_row,MATCH(expenses_min_row,$C:$C,0),
   IF(header_row_id=savings_header_row,MATCH(savings_min_row,$C:$C,0),""))),"")</f>
        <v/>
      </c>
      <c r="N17" s="31" t="str" cm="1">
        <f t="array" ref="N17">IF(is_cat,
   IF(header_row_id=income_header_row,MATCH(income_max_row,$C:$C,0),
   IF(header_row_id=expenses_header_row,MATCH(expenses_max_row,$C:$C,0),
   IF(header_row_id=savings_header_row,MATCH(savings_max_row,$C:$C,0),""))),"")</f>
        <v/>
      </c>
      <c r="O17" s="65" t="str">
        <f t="shared" si="3"/>
        <v/>
      </c>
      <c r="P17" s="64" t="str">
        <f t="shared" ca="1" si="4"/>
        <v/>
      </c>
      <c r="Q17" s="64" t="str">
        <f t="shared" si="5"/>
        <v/>
      </c>
      <c r="R17" s="66" t="str">
        <f t="shared" ca="1" si="6"/>
        <v/>
      </c>
      <c r="S17" s="64" t="str">
        <f t="shared" si="7"/>
        <v/>
      </c>
      <c r="T17" s="64" t="str">
        <f t="shared" si="8"/>
        <v/>
      </c>
      <c r="U17" s="64" t="str">
        <f t="shared" ca="1" si="9"/>
        <v/>
      </c>
      <c r="V17" s="64" t="str">
        <f t="shared" si="10"/>
        <v/>
      </c>
      <c r="W17" s="66" t="str">
        <f t="shared" ca="1" si="11"/>
        <v/>
      </c>
      <c r="X17" s="68">
        <f t="shared" si="12"/>
        <v>21</v>
      </c>
      <c r="Y17" s="71" t="str">
        <f t="shared" ca="1" si="13"/>
        <v>Expenses</v>
      </c>
      <c r="Z17" s="72" t="str">
        <f t="shared" si="14"/>
        <v>Tracked</v>
      </c>
      <c r="AA17" s="72" t="str">
        <f t="shared" si="15"/>
        <v>Budget</v>
      </c>
      <c r="AB17" s="70" t="str">
        <f t="shared" si="16"/>
        <v>% Compl.</v>
      </c>
      <c r="AC17" s="72" t="str">
        <f t="shared" si="17"/>
        <v>Remaining</v>
      </c>
      <c r="AD17" s="72" t="str">
        <f t="shared" si="18"/>
        <v>Excess</v>
      </c>
      <c r="AF17" s="30"/>
      <c r="AI17" s="87" t="str">
        <f>Calculations!E36</f>
        <v/>
      </c>
      <c r="AJ17" s="88" t="str">
        <f>Calculations!F36</f>
        <v/>
      </c>
      <c r="AK17" s="31"/>
      <c r="AM17" s="30"/>
      <c r="AR17" s="31"/>
    </row>
    <row r="18" spans="3:44" x14ac:dyDescent="0.2">
      <c r="C18" s="30" cm="1">
        <f t="array" ref="C18">IF(C17=-1,-1,
IF(C17&lt;income_max_row,C17+1,
IF(C17=income_max_row,income_total_row,
IF(C17=income_total_row,"/1",
IF(C17="/1",expenses_header_row,
IF(C17&lt;expenses_max_row,C17+1,
IF(C17=expenses_max_row,expenses_total_row,
IF(C17=expenses_total_row,"/2",
IF(C17="/2",savings_header_row,
IF(C17&lt;savings_max_row,C17+1,
IF(C17=savings_max_row,savings_total_row,-1)))))))))))</f>
        <v>22</v>
      </c>
      <c r="D18">
        <f t="shared" si="0"/>
        <v>21</v>
      </c>
      <c r="E18" s="30" cm="1">
        <f t="array" ref="E18">1*OR(row_id=income_header_row,row_id=expenses_header_row,row_id=savings_header_row)</f>
        <v>0</v>
      </c>
      <c r="F18">
        <f t="shared" si="1"/>
        <v>1</v>
      </c>
      <c r="G18" cm="1">
        <f t="array" ref="G18">1*OR(row_id=income_total_row,row_id=expenses_total_row,row_id=savings_total_row)</f>
        <v>0</v>
      </c>
      <c r="H18">
        <f t="shared" si="2"/>
        <v>0</v>
      </c>
      <c r="I18" s="30" t="str" cm="1">
        <f t="array" ref="I18">IFERROR(INDEX('Budget Planning'!$C:$C,header_row_id),"")</f>
        <v>Expenses</v>
      </c>
      <c r="J18" t="str" cm="1">
        <f t="array" ref="J18">IFERROR(INDEX('Budget Planning'!$C:$C,row_id),"")</f>
        <v>Company License Fees</v>
      </c>
      <c r="K18" s="61" cm="1">
        <f t="array" ref="K18">IF(OR(is_header,is_empty),"",
   IF(is_total,
     IF(selected_period="Total Year",
    SUM(Tracking[Amount]*(Tracking[Type]=type)*(YEAR(Tracking[Effective Date])=selected_year)),
    SUM(Tracking[Amount]*(Tracking[Type]=type)*(YEAR(Tracking[Effective Date])=selected_year)*(MONTH(Tracking[Effective Date])=selected_period))),
   IF(selected_period="Total Year",
    SUM(Tracking[Amount]*(Tracking[Type]=type)*(Tracking[Category]=item)*(YEAR(Tracking[Effective Date])=selected_year)),
    SUM(Tracking[Amount]*(Tracking[Type]=type)*(Tracking[Category]=item)*(YEAR(Tracking[Effective Date])=selected_year)*(MONTH(Tracking[Effective Date])=selected_period)))
 )
)</f>
        <v>0</v>
      </c>
      <c r="L18" s="62" cm="1">
        <f t="array" ref="L18">IF(OR(is_header,is_empty),"",
   INDEX('Budget Planning'!$E:$BU,row_id,
        MATCH(IF(selected_period="Total Year",selected_year,DATE(selected_year,selected_period,1)),'Budget Planning'!$E$9:$BU$9,0)))</f>
        <v>0</v>
      </c>
      <c r="M18" s="30" cm="1">
        <f t="array" ref="M18">IF(is_cat,
   IF(header_row_id=income_header_row,MATCH(income_min_row,$C:$C,0),
   IF(header_row_id=expenses_header_row,MATCH(expenses_min_row,$C:$C,0),
   IF(header_row_id=savings_header_row,MATCH(savings_min_row,$C:$C,0),""))),"")</f>
        <v>18</v>
      </c>
      <c r="N18" s="31" cm="1">
        <f t="array" ref="N18">IF(is_cat,
   IF(header_row_id=income_header_row,MATCH(income_max_row,$C:$C,0),
   IF(header_row_id=expenses_header_row,MATCH(expenses_max_row,$C:$C,0),
   IF(header_row_id=savings_header_row,MATCH(savings_max_row,$C:$C,0),""))),"")</f>
        <v>35</v>
      </c>
      <c r="O18" s="65" t="str">
        <f t="shared" si="3"/>
        <v>$K$18:$K$35</v>
      </c>
      <c r="P18" s="64">
        <f t="shared" ca="1" si="4"/>
        <v>1</v>
      </c>
      <c r="Q18" s="64" t="str">
        <f t="shared" si="5"/>
        <v>$L$18:$L$35</v>
      </c>
      <c r="R18" s="66">
        <f t="shared" ca="1" si="6"/>
        <v>1</v>
      </c>
      <c r="S18" s="64">
        <f t="shared" ca="1" si="7"/>
        <v>11</v>
      </c>
      <c r="T18" s="64" t="str">
        <f t="shared" si="8"/>
        <v>$S$18:$S$35</v>
      </c>
      <c r="U18" s="64">
        <f t="shared" ca="1" si="9"/>
        <v>1</v>
      </c>
      <c r="V18" s="64" t="str">
        <f t="shared" si="10"/>
        <v>$U$18:$U$18</v>
      </c>
      <c r="W18" s="66">
        <f t="shared" ca="1" si="11"/>
        <v>1</v>
      </c>
      <c r="X18" s="68">
        <f t="shared" ca="1" si="12"/>
        <v>22</v>
      </c>
      <c r="Y18" s="71" t="str">
        <f t="shared" ca="1" si="13"/>
        <v>Company License Fees</v>
      </c>
      <c r="Z18" s="72">
        <f ca="1">IF(is_empty,"",IF(is_header,"Tracked",INDEX($K:$K,MATCH(row_id,$X:$X,0))))</f>
        <v>0</v>
      </c>
      <c r="AA18" s="72">
        <f t="shared" ca="1" si="15"/>
        <v>0</v>
      </c>
      <c r="AB18" s="70" t="str">
        <f t="shared" ca="1" si="16"/>
        <v>-</v>
      </c>
      <c r="AC18" s="72">
        <f t="shared" ca="1" si="17"/>
        <v>0</v>
      </c>
      <c r="AD18" s="72">
        <f t="shared" ca="1" si="18"/>
        <v>0</v>
      </c>
      <c r="AF18" s="30"/>
      <c r="AI18" s="87" t="str">
        <f>Calculations!E37</f>
        <v/>
      </c>
      <c r="AJ18" s="88" t="str">
        <f>Calculations!F37</f>
        <v/>
      </c>
      <c r="AK18" s="31"/>
      <c r="AM18" s="30"/>
      <c r="AR18" s="31"/>
    </row>
    <row r="19" spans="3:44" x14ac:dyDescent="0.2">
      <c r="C19" s="30" cm="1">
        <f t="array" ref="C19">IF(C18=-1,-1,
IF(C18&lt;income_max_row,C18+1,
IF(C18=income_max_row,income_total_row,
IF(C18=income_total_row,"/1",
IF(C18="/1",expenses_header_row,
IF(C18&lt;expenses_max_row,C18+1,
IF(C18=expenses_max_row,expenses_total_row,
IF(C18=expenses_total_row,"/2",
IF(C18="/2",savings_header_row,
IF(C18&lt;savings_max_row,C18+1,
IF(C18=savings_max_row,savings_total_row,-1)))))))))))</f>
        <v>23</v>
      </c>
      <c r="D19">
        <f t="shared" si="0"/>
        <v>21</v>
      </c>
      <c r="E19" s="30" cm="1">
        <f t="array" ref="E19">1*OR(row_id=income_header_row,row_id=expenses_header_row,row_id=savings_header_row)</f>
        <v>0</v>
      </c>
      <c r="F19">
        <f t="shared" si="1"/>
        <v>1</v>
      </c>
      <c r="G19" cm="1">
        <f t="array" ref="G19">1*OR(row_id=income_total_row,row_id=expenses_total_row,row_id=savings_total_row)</f>
        <v>0</v>
      </c>
      <c r="H19">
        <f t="shared" si="2"/>
        <v>0</v>
      </c>
      <c r="I19" s="30" t="str" cm="1">
        <f t="array" ref="I19">IFERROR(INDEX('Budget Planning'!$C:$C,header_row_id),"")</f>
        <v>Expenses</v>
      </c>
      <c r="J19" t="str" cm="1">
        <f t="array" ref="J19">IFERROR(INDEX('Budget Planning'!$C:$C,row_id),"")</f>
        <v>Establishment Card</v>
      </c>
      <c r="K19" s="61" cm="1">
        <f t="array" ref="K19">IF(OR(is_header,is_empty),"",
   IF(is_total,
     IF(selected_period="Total Year",
    SUM(Tracking[Amount]*(Tracking[Type]=type)*(YEAR(Tracking[Effective Date])=selected_year)),
    SUM(Tracking[Amount]*(Tracking[Type]=type)*(YEAR(Tracking[Effective Date])=selected_year)*(MONTH(Tracking[Effective Date])=selected_period))),
   IF(selected_period="Total Year",
    SUM(Tracking[Amount]*(Tracking[Type]=type)*(Tracking[Category]=item)*(YEAR(Tracking[Effective Date])=selected_year)),
    SUM(Tracking[Amount]*(Tracking[Type]=type)*(Tracking[Category]=item)*(YEAR(Tracking[Effective Date])=selected_year)*(MONTH(Tracking[Effective Date])=selected_period)))
 )
)</f>
        <v>0</v>
      </c>
      <c r="L19" s="62" cm="1">
        <f t="array" ref="L19">IF(OR(is_header,is_empty),"",
   INDEX('Budget Planning'!$E:$BU,row_id,
        MATCH(IF(selected_period="Total Year",selected_year,DATE(selected_year,selected_period,1)),'Budget Planning'!$E$9:$BU$9,0)))</f>
        <v>0</v>
      </c>
      <c r="M19" s="30" cm="1">
        <f t="array" ref="M19">IF(is_cat,
   IF(header_row_id=income_header_row,MATCH(income_min_row,$C:$C,0),
   IF(header_row_id=expenses_header_row,MATCH(expenses_min_row,$C:$C,0),
   IF(header_row_id=savings_header_row,MATCH(savings_min_row,$C:$C,0),""))),"")</f>
        <v>18</v>
      </c>
      <c r="N19" s="31" cm="1">
        <f t="array" ref="N19">IF(is_cat,
   IF(header_row_id=income_header_row,MATCH(income_max_row,$C:$C,0),
   IF(header_row_id=expenses_header_row,MATCH(expenses_max_row,$C:$C,0),
   IF(header_row_id=savings_header_row,MATCH(savings_max_row,$C:$C,0),""))),"")</f>
        <v>35</v>
      </c>
      <c r="O19" s="65" t="str">
        <f t="shared" si="3"/>
        <v>$K$18:$K$35</v>
      </c>
      <c r="P19" s="64">
        <f t="shared" ca="1" si="4"/>
        <v>1</v>
      </c>
      <c r="Q19" s="64" t="str">
        <f t="shared" si="5"/>
        <v>$L$18:$L$35</v>
      </c>
      <c r="R19" s="66">
        <f t="shared" ca="1" si="6"/>
        <v>1</v>
      </c>
      <c r="S19" s="64">
        <f t="shared" ca="1" si="7"/>
        <v>11</v>
      </c>
      <c r="T19" s="64" t="str">
        <f t="shared" si="8"/>
        <v>$S$18:$S$35</v>
      </c>
      <c r="U19" s="64">
        <f t="shared" ca="1" si="9"/>
        <v>1</v>
      </c>
      <c r="V19" s="64" t="str">
        <f t="shared" si="10"/>
        <v>$U$18:$U$19</v>
      </c>
      <c r="W19" s="66">
        <f t="shared" ca="1" si="11"/>
        <v>2</v>
      </c>
      <c r="X19" s="68">
        <f t="shared" ca="1" si="12"/>
        <v>23</v>
      </c>
      <c r="Y19" s="71" t="str">
        <f t="shared" ca="1" si="13"/>
        <v>Establishment Card</v>
      </c>
      <c r="Z19" s="72">
        <f ca="1">IF(is_empty,"",IF(is_header,"Tracked",INDEX($K:$K,MATCH(row_id,$X:$X,0))))</f>
        <v>0</v>
      </c>
      <c r="AA19" s="72">
        <f t="shared" ca="1" si="15"/>
        <v>0</v>
      </c>
      <c r="AB19" s="70" t="str">
        <f t="shared" ca="1" si="16"/>
        <v>-</v>
      </c>
      <c r="AC19" s="72">
        <f t="shared" ca="1" si="17"/>
        <v>0</v>
      </c>
      <c r="AD19" s="72">
        <f t="shared" ca="1" si="18"/>
        <v>0</v>
      </c>
      <c r="AF19" s="30"/>
      <c r="AI19" s="87" t="str">
        <f>Calculations!E38</f>
        <v/>
      </c>
      <c r="AJ19" s="88" t="str">
        <f>Calculations!F38</f>
        <v/>
      </c>
      <c r="AK19" s="31"/>
      <c r="AM19" s="30"/>
      <c r="AR19" s="31"/>
    </row>
    <row r="20" spans="3:44" x14ac:dyDescent="0.2">
      <c r="C20" s="30" cm="1">
        <f t="array" ref="C20">IF(C19=-1,-1,
IF(C19&lt;income_max_row,C19+1,
IF(C19=income_max_row,income_total_row,
IF(C19=income_total_row,"/1",
IF(C19="/1",expenses_header_row,
IF(C19&lt;expenses_max_row,C19+1,
IF(C19=expenses_max_row,expenses_total_row,
IF(C19=expenses_total_row,"/2",
IF(C19="/2",savings_header_row,
IF(C19&lt;savings_max_row,C19+1,
IF(C19=savings_max_row,savings_total_row,-1)))))))))))</f>
        <v>24</v>
      </c>
      <c r="D20">
        <f t="shared" si="0"/>
        <v>21</v>
      </c>
      <c r="E20" s="30" cm="1">
        <f t="array" ref="E20">1*OR(row_id=income_header_row,row_id=expenses_header_row,row_id=savings_header_row)</f>
        <v>0</v>
      </c>
      <c r="F20">
        <f t="shared" si="1"/>
        <v>1</v>
      </c>
      <c r="G20" cm="1">
        <f t="array" ref="G20">1*OR(row_id=income_total_row,row_id=expenses_total_row,row_id=savings_total_row)</f>
        <v>0</v>
      </c>
      <c r="H20">
        <f t="shared" si="2"/>
        <v>0</v>
      </c>
      <c r="I20" s="30" t="str" cm="1">
        <f t="array" ref="I20">IFERROR(INDEX('Budget Planning'!$C:$C,header_row_id),"")</f>
        <v>Expenses</v>
      </c>
      <c r="J20" t="str" cm="1">
        <f t="array" ref="J20">IFERROR(INDEX('Budget Planning'!$C:$C,row_id),"")</f>
        <v>VAT</v>
      </c>
      <c r="K20" s="61" cm="1">
        <f t="array" ref="K20">IF(OR(is_header,is_empty),"",
   IF(is_total,
     IF(selected_period="Total Year",
    SUM(Tracking[Amount]*(Tracking[Type]=type)*(YEAR(Tracking[Effective Date])=selected_year)),
    SUM(Tracking[Amount]*(Tracking[Type]=type)*(YEAR(Tracking[Effective Date])=selected_year)*(MONTH(Tracking[Effective Date])=selected_period))),
   IF(selected_period="Total Year",
    SUM(Tracking[Amount]*(Tracking[Type]=type)*(Tracking[Category]=item)*(YEAR(Tracking[Effective Date])=selected_year)),
    SUM(Tracking[Amount]*(Tracking[Type]=type)*(Tracking[Category]=item)*(YEAR(Tracking[Effective Date])=selected_year)*(MONTH(Tracking[Effective Date])=selected_period)))
 )
)</f>
        <v>0</v>
      </c>
      <c r="L20" s="62" cm="1">
        <f t="array" ref="L20">IF(OR(is_header,is_empty),"",
   INDEX('Budget Planning'!$E:$BU,row_id,
        MATCH(IF(selected_period="Total Year",selected_year,DATE(selected_year,selected_period,1)),'Budget Planning'!$E$9:$BU$9,0)))</f>
        <v>0</v>
      </c>
      <c r="M20" s="30" cm="1">
        <f t="array" ref="M20">IF(is_cat,
   IF(header_row_id=income_header_row,MATCH(income_min_row,$C:$C,0),
   IF(header_row_id=expenses_header_row,MATCH(expenses_min_row,$C:$C,0),
   IF(header_row_id=savings_header_row,MATCH(savings_min_row,$C:$C,0),""))),"")</f>
        <v>18</v>
      </c>
      <c r="N20" s="31" cm="1">
        <f t="array" ref="N20">IF(is_cat,
   IF(header_row_id=income_header_row,MATCH(income_max_row,$C:$C,0),
   IF(header_row_id=expenses_header_row,MATCH(expenses_max_row,$C:$C,0),
   IF(header_row_id=savings_header_row,MATCH(savings_max_row,$C:$C,0),""))),"")</f>
        <v>35</v>
      </c>
      <c r="O20" s="65" t="str">
        <f t="shared" si="3"/>
        <v>$K$18:$K$35</v>
      </c>
      <c r="P20" s="64">
        <f t="shared" ca="1" si="4"/>
        <v>1</v>
      </c>
      <c r="Q20" s="64" t="str">
        <f t="shared" si="5"/>
        <v>$L$18:$L$35</v>
      </c>
      <c r="R20" s="66">
        <f t="shared" ca="1" si="6"/>
        <v>1</v>
      </c>
      <c r="S20" s="64">
        <f t="shared" ca="1" si="7"/>
        <v>11</v>
      </c>
      <c r="T20" s="64" t="str">
        <f t="shared" si="8"/>
        <v>$S$18:$S$35</v>
      </c>
      <c r="U20" s="64">
        <f t="shared" ca="1" si="9"/>
        <v>1</v>
      </c>
      <c r="V20" s="64" t="str">
        <f t="shared" si="10"/>
        <v>$U$18:$U$20</v>
      </c>
      <c r="W20" s="66">
        <f t="shared" ca="1" si="11"/>
        <v>3</v>
      </c>
      <c r="X20" s="68">
        <f t="shared" ca="1" si="12"/>
        <v>24</v>
      </c>
      <c r="Y20" s="71" t="str">
        <f t="shared" ca="1" si="13"/>
        <v>VAT</v>
      </c>
      <c r="Z20" s="72">
        <f t="shared" ca="1" si="14"/>
        <v>0</v>
      </c>
      <c r="AA20" s="72">
        <f t="shared" ca="1" si="15"/>
        <v>0</v>
      </c>
      <c r="AB20" s="70" t="str">
        <f t="shared" ca="1" si="16"/>
        <v>-</v>
      </c>
      <c r="AC20" s="72">
        <f t="shared" ca="1" si="17"/>
        <v>0</v>
      </c>
      <c r="AD20" s="72">
        <f t="shared" ca="1" si="18"/>
        <v>0</v>
      </c>
      <c r="AF20" s="30"/>
      <c r="AI20" s="87" t="str">
        <f>Calculations!E39</f>
        <v/>
      </c>
      <c r="AJ20" s="88" t="str">
        <f>Calculations!F39</f>
        <v/>
      </c>
      <c r="AK20" s="31"/>
      <c r="AM20" s="30"/>
      <c r="AR20" s="31"/>
    </row>
    <row r="21" spans="3:44" x14ac:dyDescent="0.2">
      <c r="C21" s="30" cm="1">
        <f t="array" ref="C21">IF(C20=-1,-1,
IF(C20&lt;income_max_row,C20+1,
IF(C20=income_max_row,income_total_row,
IF(C20=income_total_row,"/1",
IF(C20="/1",expenses_header_row,
IF(C20&lt;expenses_max_row,C20+1,
IF(C20=expenses_max_row,expenses_total_row,
IF(C20=expenses_total_row,"/2",
IF(C20="/2",savings_header_row,
IF(C20&lt;savings_max_row,C20+1,
IF(C20=savings_max_row,savings_total_row,-1)))))))))))</f>
        <v>25</v>
      </c>
      <c r="D21">
        <f t="shared" si="0"/>
        <v>21</v>
      </c>
      <c r="E21" s="30" cm="1">
        <f t="array" ref="E21">1*OR(row_id=income_header_row,row_id=expenses_header_row,row_id=savings_header_row)</f>
        <v>0</v>
      </c>
      <c r="F21">
        <f t="shared" si="1"/>
        <v>1</v>
      </c>
      <c r="G21" cm="1">
        <f t="array" ref="G21">1*OR(row_id=income_total_row,row_id=expenses_total_row,row_id=savings_total_row)</f>
        <v>0</v>
      </c>
      <c r="H21">
        <f t="shared" si="2"/>
        <v>0</v>
      </c>
      <c r="I21" s="30" t="str" cm="1">
        <f t="array" ref="I21">IFERROR(INDEX('Budget Planning'!$C:$C,header_row_id),"")</f>
        <v>Expenses</v>
      </c>
      <c r="J21" t="str" cm="1">
        <f t="array" ref="J21">IFERROR(INDEX('Budget Planning'!$C:$C,row_id),"")</f>
        <v>Expense 1</v>
      </c>
      <c r="K21" s="61" cm="1">
        <f t="array" ref="K21">IF(OR(is_header,is_empty),"",
   IF(is_total,
     IF(selected_period="Total Year",
    SUM(Tracking[Amount]*(Tracking[Type]=type)*(YEAR(Tracking[Effective Date])=selected_year)),
    SUM(Tracking[Amount]*(Tracking[Type]=type)*(YEAR(Tracking[Effective Date])=selected_year)*(MONTH(Tracking[Effective Date])=selected_period))),
   IF(selected_period="Total Year",
    SUM(Tracking[Amount]*(Tracking[Type]=type)*(Tracking[Category]=item)*(YEAR(Tracking[Effective Date])=selected_year)),
    SUM(Tracking[Amount]*(Tracking[Type]=type)*(Tracking[Category]=item)*(YEAR(Tracking[Effective Date])=selected_year)*(MONTH(Tracking[Effective Date])=selected_period)))
 )
)</f>
        <v>0</v>
      </c>
      <c r="L21" s="62" cm="1">
        <f t="array" ref="L21">IF(OR(is_header,is_empty),"",
   INDEX('Budget Planning'!$E:$BU,row_id,
        MATCH(IF(selected_period="Total Year",selected_year,DATE(selected_year,selected_period,1)),'Budget Planning'!$E$9:$BU$9,0)))</f>
        <v>0</v>
      </c>
      <c r="M21" s="30" cm="1">
        <f t="array" ref="M21">IF(is_cat,
   IF(header_row_id=income_header_row,MATCH(income_min_row,$C:$C,0),
   IF(header_row_id=expenses_header_row,MATCH(expenses_min_row,$C:$C,0),
   IF(header_row_id=savings_header_row,MATCH(savings_min_row,$C:$C,0),""))),"")</f>
        <v>18</v>
      </c>
      <c r="N21" s="31" cm="1">
        <f t="array" ref="N21">IF(is_cat,
   IF(header_row_id=income_header_row,MATCH(income_max_row,$C:$C,0),
   IF(header_row_id=expenses_header_row,MATCH(expenses_max_row,$C:$C,0),
   IF(header_row_id=savings_header_row,MATCH(savings_max_row,$C:$C,0),""))),"")</f>
        <v>35</v>
      </c>
      <c r="O21" s="65" t="str">
        <f t="shared" si="3"/>
        <v>$K$18:$K$35</v>
      </c>
      <c r="P21" s="64">
        <f t="shared" ca="1" si="4"/>
        <v>1</v>
      </c>
      <c r="Q21" s="64" t="str">
        <f t="shared" si="5"/>
        <v>$L$18:$L$35</v>
      </c>
      <c r="R21" s="66">
        <f t="shared" ca="1" si="6"/>
        <v>1</v>
      </c>
      <c r="S21" s="64">
        <f t="shared" ca="1" si="7"/>
        <v>11</v>
      </c>
      <c r="T21" s="64" t="str">
        <f t="shared" si="8"/>
        <v>$S$18:$S$35</v>
      </c>
      <c r="U21" s="64">
        <f t="shared" ca="1" si="9"/>
        <v>1</v>
      </c>
      <c r="V21" s="64" t="str">
        <f t="shared" si="10"/>
        <v>$U$18:$U$21</v>
      </c>
      <c r="W21" s="66">
        <f t="shared" ca="1" si="11"/>
        <v>4</v>
      </c>
      <c r="X21" s="68">
        <f t="shared" ca="1" si="12"/>
        <v>25</v>
      </c>
      <c r="Y21" s="71" t="str">
        <f t="shared" ca="1" si="13"/>
        <v>Expense 1</v>
      </c>
      <c r="Z21" s="72">
        <f t="shared" ca="1" si="14"/>
        <v>0</v>
      </c>
      <c r="AA21" s="72">
        <f t="shared" ca="1" si="15"/>
        <v>0</v>
      </c>
      <c r="AB21" s="70" t="str">
        <f t="shared" ca="1" si="16"/>
        <v>-</v>
      </c>
      <c r="AC21" s="72">
        <f t="shared" ca="1" si="17"/>
        <v>0</v>
      </c>
      <c r="AD21" s="72">
        <f t="shared" ca="1" si="18"/>
        <v>0</v>
      </c>
      <c r="AF21" s="30"/>
      <c r="AI21" s="87" t="str">
        <f ca="1">Calculations!E40</f>
        <v/>
      </c>
      <c r="AJ21" s="88" t="str">
        <f ca="1">Calculations!F40</f>
        <v/>
      </c>
      <c r="AK21" s="31"/>
      <c r="AM21" s="30"/>
      <c r="AR21" s="31"/>
    </row>
    <row r="22" spans="3:44" x14ac:dyDescent="0.2">
      <c r="C22" s="30" cm="1">
        <f t="array" ref="C22">IF(C21=-1,-1,
IF(C21&lt;income_max_row,C21+1,
IF(C21=income_max_row,income_total_row,
IF(C21=income_total_row,"/1",
IF(C21="/1",expenses_header_row,
IF(C21&lt;expenses_max_row,C21+1,
IF(C21=expenses_max_row,expenses_total_row,
IF(C21=expenses_total_row,"/2",
IF(C21="/2",savings_header_row,
IF(C21&lt;savings_max_row,C21+1,
IF(C21=savings_max_row,savings_total_row,-1)))))))))))</f>
        <v>26</v>
      </c>
      <c r="D22">
        <f t="shared" si="0"/>
        <v>21</v>
      </c>
      <c r="E22" s="30" cm="1">
        <f t="array" ref="E22">1*OR(row_id=income_header_row,row_id=expenses_header_row,row_id=savings_header_row)</f>
        <v>0</v>
      </c>
      <c r="F22">
        <f t="shared" si="1"/>
        <v>1</v>
      </c>
      <c r="G22" cm="1">
        <f t="array" ref="G22">1*OR(row_id=income_total_row,row_id=expenses_total_row,row_id=savings_total_row)</f>
        <v>0</v>
      </c>
      <c r="H22">
        <f t="shared" si="2"/>
        <v>0</v>
      </c>
      <c r="I22" s="30" t="str" cm="1">
        <f t="array" ref="I22">IFERROR(INDEX('Budget Planning'!$C:$C,header_row_id),"")</f>
        <v>Expenses</v>
      </c>
      <c r="J22" t="str" cm="1">
        <f t="array" ref="J22">IFERROR(INDEX('Budget Planning'!$C:$C,row_id),"")</f>
        <v>Expense 2</v>
      </c>
      <c r="K22" s="61" cm="1">
        <f t="array" ref="K22">IF(OR(is_header,is_empty),"",
   IF(is_total,
     IF(selected_period="Total Year",
    SUM(Tracking[Amount]*(Tracking[Type]=type)*(YEAR(Tracking[Effective Date])=selected_year)),
    SUM(Tracking[Amount]*(Tracking[Type]=type)*(YEAR(Tracking[Effective Date])=selected_year)*(MONTH(Tracking[Effective Date])=selected_period))),
   IF(selected_period="Total Year",
    SUM(Tracking[Amount]*(Tracking[Type]=type)*(Tracking[Category]=item)*(YEAR(Tracking[Effective Date])=selected_year)),
    SUM(Tracking[Amount]*(Tracking[Type]=type)*(Tracking[Category]=item)*(YEAR(Tracking[Effective Date])=selected_year)*(MONTH(Tracking[Effective Date])=selected_period)))
 )
)</f>
        <v>0</v>
      </c>
      <c r="L22" s="62" cm="1">
        <f t="array" ref="L22">IF(OR(is_header,is_empty),"",
   INDEX('Budget Planning'!$E:$BU,row_id,
        MATCH(IF(selected_period="Total Year",selected_year,DATE(selected_year,selected_period,1)),'Budget Planning'!$E$9:$BU$9,0)))</f>
        <v>0</v>
      </c>
      <c r="M22" s="30" cm="1">
        <f t="array" ref="M22">IF(is_cat,
   IF(header_row_id=income_header_row,MATCH(income_min_row,$C:$C,0),
   IF(header_row_id=expenses_header_row,MATCH(expenses_min_row,$C:$C,0),
   IF(header_row_id=savings_header_row,MATCH(savings_min_row,$C:$C,0),""))),"")</f>
        <v>18</v>
      </c>
      <c r="N22" s="31" cm="1">
        <f t="array" ref="N22">IF(is_cat,
   IF(header_row_id=income_header_row,MATCH(income_max_row,$C:$C,0),
   IF(header_row_id=expenses_header_row,MATCH(expenses_max_row,$C:$C,0),
   IF(header_row_id=savings_header_row,MATCH(savings_max_row,$C:$C,0),""))),"")</f>
        <v>35</v>
      </c>
      <c r="O22" s="65" t="str">
        <f t="shared" si="3"/>
        <v>$K$18:$K$35</v>
      </c>
      <c r="P22" s="64">
        <f t="shared" ca="1" si="4"/>
        <v>1</v>
      </c>
      <c r="Q22" s="64" t="str">
        <f t="shared" si="5"/>
        <v>$L$18:$L$35</v>
      </c>
      <c r="R22" s="66">
        <f t="shared" ca="1" si="6"/>
        <v>1</v>
      </c>
      <c r="S22" s="64">
        <f t="shared" ca="1" si="7"/>
        <v>11</v>
      </c>
      <c r="T22" s="64" t="str">
        <f t="shared" si="8"/>
        <v>$S$18:$S$35</v>
      </c>
      <c r="U22" s="64">
        <f t="shared" ca="1" si="9"/>
        <v>1</v>
      </c>
      <c r="V22" s="64" t="str">
        <f t="shared" si="10"/>
        <v>$U$18:$U$22</v>
      </c>
      <c r="W22" s="66">
        <f t="shared" ca="1" si="11"/>
        <v>5</v>
      </c>
      <c r="X22" s="68">
        <f t="shared" ca="1" si="12"/>
        <v>26</v>
      </c>
      <c r="Y22" s="71" t="str">
        <f t="shared" ca="1" si="13"/>
        <v>Expense 2</v>
      </c>
      <c r="Z22" s="72">
        <f t="shared" ca="1" si="14"/>
        <v>0</v>
      </c>
      <c r="AA22" s="72">
        <f t="shared" ca="1" si="15"/>
        <v>0</v>
      </c>
      <c r="AB22" s="70" t="str">
        <f t="shared" ca="1" si="16"/>
        <v>-</v>
      </c>
      <c r="AC22" s="72">
        <f t="shared" ca="1" si="17"/>
        <v>0</v>
      </c>
      <c r="AD22" s="72">
        <f t="shared" ca="1" si="18"/>
        <v>0</v>
      </c>
      <c r="AF22" s="30"/>
      <c r="AI22" s="89" t="str">
        <f>Calculations!E41</f>
        <v>Total</v>
      </c>
      <c r="AJ22" s="90">
        <f ca="1">Calculations!F41</f>
        <v>0</v>
      </c>
      <c r="AK22" s="31"/>
      <c r="AM22" s="30"/>
      <c r="AR22" s="31"/>
    </row>
    <row r="23" spans="3:44" x14ac:dyDescent="0.2">
      <c r="C23" s="30" cm="1">
        <f t="array" ref="C23">IF(C22=-1,-1,
IF(C22&lt;income_max_row,C22+1,
IF(C22=income_max_row,income_total_row,
IF(C22=income_total_row,"/1",
IF(C22="/1",expenses_header_row,
IF(C22&lt;expenses_max_row,C22+1,
IF(C22=expenses_max_row,expenses_total_row,
IF(C22=expenses_total_row,"/2",
IF(C22="/2",savings_header_row,
IF(C22&lt;savings_max_row,C22+1,
IF(C22=savings_max_row,savings_total_row,-1)))))))))))</f>
        <v>27</v>
      </c>
      <c r="D23">
        <f t="shared" si="0"/>
        <v>21</v>
      </c>
      <c r="E23" s="30" cm="1">
        <f t="array" ref="E23">1*OR(row_id=income_header_row,row_id=expenses_header_row,row_id=savings_header_row)</f>
        <v>0</v>
      </c>
      <c r="F23">
        <f t="shared" si="1"/>
        <v>1</v>
      </c>
      <c r="G23" cm="1">
        <f t="array" ref="G23">1*OR(row_id=income_total_row,row_id=expenses_total_row,row_id=savings_total_row)</f>
        <v>0</v>
      </c>
      <c r="H23">
        <f t="shared" si="2"/>
        <v>0</v>
      </c>
      <c r="I23" s="30" t="str" cm="1">
        <f t="array" ref="I23">IFERROR(INDEX('Budget Planning'!$C:$C,header_row_id),"")</f>
        <v>Expenses</v>
      </c>
      <c r="J23" t="str" cm="1">
        <f t="array" ref="J23">IFERROR(INDEX('Budget Planning'!$C:$C,row_id),"")</f>
        <v>Expense 3</v>
      </c>
      <c r="K23" s="61" cm="1">
        <f t="array" ref="K23">IF(OR(is_header,is_empty),"",
   IF(is_total,
     IF(selected_period="Total Year",
    SUM(Tracking[Amount]*(Tracking[Type]=type)*(YEAR(Tracking[Effective Date])=selected_year)),
    SUM(Tracking[Amount]*(Tracking[Type]=type)*(YEAR(Tracking[Effective Date])=selected_year)*(MONTH(Tracking[Effective Date])=selected_period))),
   IF(selected_period="Total Year",
    SUM(Tracking[Amount]*(Tracking[Type]=type)*(Tracking[Category]=item)*(YEAR(Tracking[Effective Date])=selected_year)),
    SUM(Tracking[Amount]*(Tracking[Type]=type)*(Tracking[Category]=item)*(YEAR(Tracking[Effective Date])=selected_year)*(MONTH(Tracking[Effective Date])=selected_period)))
 )
)</f>
        <v>0</v>
      </c>
      <c r="L23" s="62" cm="1">
        <f t="array" ref="L23">IF(OR(is_header,is_empty),"",
   INDEX('Budget Planning'!$E:$BU,row_id,
        MATCH(IF(selected_period="Total Year",selected_year,DATE(selected_year,selected_period,1)),'Budget Planning'!$E$9:$BU$9,0)))</f>
        <v>0</v>
      </c>
      <c r="M23" s="30" cm="1">
        <f t="array" ref="M23">IF(is_cat,
   IF(header_row_id=income_header_row,MATCH(income_min_row,$C:$C,0),
   IF(header_row_id=expenses_header_row,MATCH(expenses_min_row,$C:$C,0),
   IF(header_row_id=savings_header_row,MATCH(savings_min_row,$C:$C,0),""))),"")</f>
        <v>18</v>
      </c>
      <c r="N23" s="31" cm="1">
        <f t="array" ref="N23">IF(is_cat,
   IF(header_row_id=income_header_row,MATCH(income_max_row,$C:$C,0),
   IF(header_row_id=expenses_header_row,MATCH(expenses_max_row,$C:$C,0),
   IF(header_row_id=savings_header_row,MATCH(savings_max_row,$C:$C,0),""))),"")</f>
        <v>35</v>
      </c>
      <c r="O23" s="65" t="str">
        <f t="shared" si="3"/>
        <v>$K$18:$K$35</v>
      </c>
      <c r="P23" s="64">
        <f t="shared" ca="1" si="4"/>
        <v>1</v>
      </c>
      <c r="Q23" s="64" t="str">
        <f t="shared" si="5"/>
        <v>$L$18:$L$35</v>
      </c>
      <c r="R23" s="66">
        <f t="shared" ca="1" si="6"/>
        <v>1</v>
      </c>
      <c r="S23" s="64">
        <f t="shared" ca="1" si="7"/>
        <v>11</v>
      </c>
      <c r="T23" s="64" t="str">
        <f t="shared" si="8"/>
        <v>$S$18:$S$35</v>
      </c>
      <c r="U23" s="64">
        <f t="shared" ca="1" si="9"/>
        <v>1</v>
      </c>
      <c r="V23" s="64" t="str">
        <f t="shared" si="10"/>
        <v>$U$18:$U$23</v>
      </c>
      <c r="W23" s="66">
        <f t="shared" ca="1" si="11"/>
        <v>6</v>
      </c>
      <c r="X23" s="68">
        <f t="shared" ca="1" si="12"/>
        <v>27</v>
      </c>
      <c r="Y23" s="71" t="str">
        <f t="shared" ca="1" si="13"/>
        <v>Expense 3</v>
      </c>
      <c r="Z23" s="72">
        <f t="shared" ca="1" si="14"/>
        <v>0</v>
      </c>
      <c r="AA23" s="72">
        <f t="shared" ca="1" si="15"/>
        <v>0</v>
      </c>
      <c r="AB23" s="70" t="str">
        <f t="shared" ca="1" si="16"/>
        <v>-</v>
      </c>
      <c r="AC23" s="72">
        <f t="shared" ca="1" si="17"/>
        <v>0</v>
      </c>
      <c r="AD23" s="72">
        <f t="shared" ca="1" si="18"/>
        <v>0</v>
      </c>
      <c r="AF23" s="30"/>
      <c r="AK23" s="31"/>
      <c r="AM23" s="30"/>
      <c r="AR23" s="31"/>
    </row>
    <row r="24" spans="3:44" x14ac:dyDescent="0.2">
      <c r="C24" s="30" cm="1">
        <f t="array" ref="C24">IF(C23=-1,-1,
IF(C23&lt;income_max_row,C23+1,
IF(C23=income_max_row,income_total_row,
IF(C23=income_total_row,"/1",
IF(C23="/1",expenses_header_row,
IF(C23&lt;expenses_max_row,C23+1,
IF(C23=expenses_max_row,expenses_total_row,
IF(C23=expenses_total_row,"/2",
IF(C23="/2",savings_header_row,
IF(C23&lt;savings_max_row,C23+1,
IF(C23=savings_max_row,savings_total_row,-1)))))))))))</f>
        <v>28</v>
      </c>
      <c r="D24">
        <f t="shared" si="0"/>
        <v>21</v>
      </c>
      <c r="E24" s="30" cm="1">
        <f t="array" ref="E24">1*OR(row_id=income_header_row,row_id=expenses_header_row,row_id=savings_header_row)</f>
        <v>0</v>
      </c>
      <c r="F24">
        <f t="shared" si="1"/>
        <v>1</v>
      </c>
      <c r="G24" cm="1">
        <f t="array" ref="G24">1*OR(row_id=income_total_row,row_id=expenses_total_row,row_id=savings_total_row)</f>
        <v>0</v>
      </c>
      <c r="H24">
        <f t="shared" si="2"/>
        <v>0</v>
      </c>
      <c r="I24" s="30" t="str" cm="1">
        <f t="array" ref="I24">IFERROR(INDEX('Budget Planning'!$C:$C,header_row_id),"")</f>
        <v>Expenses</v>
      </c>
      <c r="J24" t="str" cm="1">
        <f t="array" ref="J24">IFERROR(INDEX('Budget Planning'!$C:$C,row_id),"")</f>
        <v>Expense 4</v>
      </c>
      <c r="K24" s="61" cm="1">
        <f t="array" ref="K24">IF(OR(is_header,is_empty),"",
   IF(is_total,
     IF(selected_period="Total Year",
    SUM(Tracking[Amount]*(Tracking[Type]=type)*(YEAR(Tracking[Effective Date])=selected_year)),
    SUM(Tracking[Amount]*(Tracking[Type]=type)*(YEAR(Tracking[Effective Date])=selected_year)*(MONTH(Tracking[Effective Date])=selected_period))),
   IF(selected_period="Total Year",
    SUM(Tracking[Amount]*(Tracking[Type]=type)*(Tracking[Category]=item)*(YEAR(Tracking[Effective Date])=selected_year)),
    SUM(Tracking[Amount]*(Tracking[Type]=type)*(Tracking[Category]=item)*(YEAR(Tracking[Effective Date])=selected_year)*(MONTH(Tracking[Effective Date])=selected_period)))
 )
)</f>
        <v>0</v>
      </c>
      <c r="L24" s="62" cm="1">
        <f t="array" ref="L24">IF(OR(is_header,is_empty),"",
   INDEX('Budget Planning'!$E:$BU,row_id,
        MATCH(IF(selected_period="Total Year",selected_year,DATE(selected_year,selected_period,1)),'Budget Planning'!$E$9:$BU$9,0)))</f>
        <v>0</v>
      </c>
      <c r="M24" s="30" cm="1">
        <f t="array" ref="M24">IF(is_cat,
   IF(header_row_id=income_header_row,MATCH(income_min_row,$C:$C,0),
   IF(header_row_id=expenses_header_row,MATCH(expenses_min_row,$C:$C,0),
   IF(header_row_id=savings_header_row,MATCH(savings_min_row,$C:$C,0),""))),"")</f>
        <v>18</v>
      </c>
      <c r="N24" s="31" cm="1">
        <f t="array" ref="N24">IF(is_cat,
   IF(header_row_id=income_header_row,MATCH(income_max_row,$C:$C,0),
   IF(header_row_id=expenses_header_row,MATCH(expenses_max_row,$C:$C,0),
   IF(header_row_id=savings_header_row,MATCH(savings_max_row,$C:$C,0),""))),"")</f>
        <v>35</v>
      </c>
      <c r="O24" s="65" t="str">
        <f t="shared" si="3"/>
        <v>$K$18:$K$35</v>
      </c>
      <c r="P24" s="64">
        <f t="shared" ca="1" si="4"/>
        <v>1</v>
      </c>
      <c r="Q24" s="64" t="str">
        <f t="shared" si="5"/>
        <v>$L$18:$L$35</v>
      </c>
      <c r="R24" s="66">
        <f t="shared" ca="1" si="6"/>
        <v>1</v>
      </c>
      <c r="S24" s="64">
        <f t="shared" ca="1" si="7"/>
        <v>11</v>
      </c>
      <c r="T24" s="64" t="str">
        <f t="shared" si="8"/>
        <v>$S$18:$S$35</v>
      </c>
      <c r="U24" s="64">
        <f t="shared" ca="1" si="9"/>
        <v>1</v>
      </c>
      <c r="V24" s="64" t="str">
        <f t="shared" si="10"/>
        <v>$U$18:$U$24</v>
      </c>
      <c r="W24" s="66">
        <f t="shared" ca="1" si="11"/>
        <v>7</v>
      </c>
      <c r="X24" s="68">
        <f t="shared" ca="1" si="12"/>
        <v>28</v>
      </c>
      <c r="Y24" s="71" t="str">
        <f t="shared" ca="1" si="13"/>
        <v>Expense 4</v>
      </c>
      <c r="Z24" s="72">
        <f t="shared" ca="1" si="14"/>
        <v>0</v>
      </c>
      <c r="AA24" s="72">
        <f t="shared" ca="1" si="15"/>
        <v>0</v>
      </c>
      <c r="AB24" s="70" t="str">
        <f t="shared" ca="1" si="16"/>
        <v>-</v>
      </c>
      <c r="AC24" s="72">
        <f t="shared" ca="1" si="17"/>
        <v>0</v>
      </c>
      <c r="AD24" s="72">
        <f t="shared" ca="1" si="18"/>
        <v>0</v>
      </c>
      <c r="AF24" s="32"/>
      <c r="AG24" s="33"/>
      <c r="AH24" s="33"/>
      <c r="AI24" s="33"/>
      <c r="AJ24" s="33"/>
      <c r="AK24" s="34"/>
      <c r="AM24" s="32"/>
      <c r="AN24" s="33"/>
      <c r="AO24" s="33"/>
      <c r="AP24" s="33"/>
      <c r="AQ24" s="33"/>
      <c r="AR24" s="34"/>
    </row>
    <row r="25" spans="3:44" x14ac:dyDescent="0.2">
      <c r="C25" s="30" cm="1">
        <f t="array" ref="C25">IF(C24=-1,-1,
IF(C24&lt;income_max_row,C24+1,
IF(C24=income_max_row,income_total_row,
IF(C24=income_total_row,"/1",
IF(C24="/1",expenses_header_row,
IF(C24&lt;expenses_max_row,C24+1,
IF(C24=expenses_max_row,expenses_total_row,
IF(C24=expenses_total_row,"/2",
IF(C24="/2",savings_header_row,
IF(C24&lt;savings_max_row,C24+1,
IF(C24=savings_max_row,savings_total_row,-1)))))))))))</f>
        <v>29</v>
      </c>
      <c r="D25">
        <f t="shared" si="0"/>
        <v>21</v>
      </c>
      <c r="E25" s="30" cm="1">
        <f t="array" ref="E25">1*OR(row_id=income_header_row,row_id=expenses_header_row,row_id=savings_header_row)</f>
        <v>0</v>
      </c>
      <c r="F25">
        <f t="shared" si="1"/>
        <v>1</v>
      </c>
      <c r="G25" cm="1">
        <f t="array" ref="G25">1*OR(row_id=income_total_row,row_id=expenses_total_row,row_id=savings_total_row)</f>
        <v>0</v>
      </c>
      <c r="H25">
        <f t="shared" si="2"/>
        <v>0</v>
      </c>
      <c r="I25" s="30" t="str" cm="1">
        <f t="array" ref="I25">IFERROR(INDEX('Budget Planning'!$C:$C,header_row_id),"")</f>
        <v>Expenses</v>
      </c>
      <c r="J25" t="str" cm="1">
        <f t="array" ref="J25">IFERROR(INDEX('Budget Planning'!$C:$C,row_id),"")</f>
        <v>Landline &amp; Wifi</v>
      </c>
      <c r="K25" s="61" cm="1">
        <f t="array" ref="K25">IF(OR(is_header,is_empty),"",
   IF(is_total,
     IF(selected_period="Total Year",
    SUM(Tracking[Amount]*(Tracking[Type]=type)*(YEAR(Tracking[Effective Date])=selected_year)),
    SUM(Tracking[Amount]*(Tracking[Type]=type)*(YEAR(Tracking[Effective Date])=selected_year)*(MONTH(Tracking[Effective Date])=selected_period))),
   IF(selected_period="Total Year",
    SUM(Tracking[Amount]*(Tracking[Type]=type)*(Tracking[Category]=item)*(YEAR(Tracking[Effective Date])=selected_year)),
    SUM(Tracking[Amount]*(Tracking[Type]=type)*(Tracking[Category]=item)*(YEAR(Tracking[Effective Date])=selected_year)*(MONTH(Tracking[Effective Date])=selected_period)))
 )
)</f>
        <v>0</v>
      </c>
      <c r="L25" s="62" cm="1">
        <f t="array" ref="L25">IF(OR(is_header,is_empty),"",
   INDEX('Budget Planning'!$E:$BU,row_id,
        MATCH(IF(selected_period="Total Year",selected_year,DATE(selected_year,selected_period,1)),'Budget Planning'!$E$9:$BU$9,0)))</f>
        <v>0</v>
      </c>
      <c r="M25" s="30" cm="1">
        <f t="array" ref="M25">IF(is_cat,
   IF(header_row_id=income_header_row,MATCH(income_min_row,$C:$C,0),
   IF(header_row_id=expenses_header_row,MATCH(expenses_min_row,$C:$C,0),
   IF(header_row_id=savings_header_row,MATCH(savings_min_row,$C:$C,0),""))),"")</f>
        <v>18</v>
      </c>
      <c r="N25" s="31" cm="1">
        <f t="array" ref="N25">IF(is_cat,
   IF(header_row_id=income_header_row,MATCH(income_max_row,$C:$C,0),
   IF(header_row_id=expenses_header_row,MATCH(expenses_max_row,$C:$C,0),
   IF(header_row_id=savings_header_row,MATCH(savings_max_row,$C:$C,0),""))),"")</f>
        <v>35</v>
      </c>
      <c r="O25" s="65" t="str">
        <f t="shared" si="3"/>
        <v>$K$18:$K$35</v>
      </c>
      <c r="P25" s="64">
        <f t="shared" ca="1" si="4"/>
        <v>1</v>
      </c>
      <c r="Q25" s="64" t="str">
        <f t="shared" si="5"/>
        <v>$L$18:$L$35</v>
      </c>
      <c r="R25" s="66">
        <f t="shared" ca="1" si="6"/>
        <v>1</v>
      </c>
      <c r="S25" s="64">
        <f t="shared" ca="1" si="7"/>
        <v>11</v>
      </c>
      <c r="T25" s="64" t="str">
        <f t="shared" si="8"/>
        <v>$S$18:$S$35</v>
      </c>
      <c r="U25" s="64">
        <f t="shared" ca="1" si="9"/>
        <v>1</v>
      </c>
      <c r="V25" s="64" t="str">
        <f t="shared" si="10"/>
        <v>$U$18:$U$25</v>
      </c>
      <c r="W25" s="66">
        <f t="shared" ca="1" si="11"/>
        <v>8</v>
      </c>
      <c r="X25" s="68">
        <f t="shared" ca="1" si="12"/>
        <v>29</v>
      </c>
      <c r="Y25" s="71" t="str">
        <f t="shared" ca="1" si="13"/>
        <v>Landline &amp; Wifi</v>
      </c>
      <c r="Z25" s="72">
        <f t="shared" ca="1" si="14"/>
        <v>0</v>
      </c>
      <c r="AA25" s="72">
        <f t="shared" ca="1" si="15"/>
        <v>0</v>
      </c>
      <c r="AB25" s="70" t="str">
        <f t="shared" ca="1" si="16"/>
        <v>-</v>
      </c>
      <c r="AC25" s="72">
        <f t="shared" ca="1" si="17"/>
        <v>0</v>
      </c>
      <c r="AD25" s="72">
        <f t="shared" ca="1" si="18"/>
        <v>0</v>
      </c>
    </row>
    <row r="26" spans="3:44" x14ac:dyDescent="0.2">
      <c r="C26" s="30" cm="1">
        <f t="array" ref="C26">IF(C25=-1,-1,
IF(C25&lt;income_max_row,C25+1,
IF(C25=income_max_row,income_total_row,
IF(C25=income_total_row,"/1",
IF(C25="/1",expenses_header_row,
IF(C25&lt;expenses_max_row,C25+1,
IF(C25=expenses_max_row,expenses_total_row,
IF(C25=expenses_total_row,"/2",
IF(C25="/2",savings_header_row,
IF(C25&lt;savings_max_row,C25+1,
IF(C25=savings_max_row,savings_total_row,-1)))))))))))</f>
        <v>30</v>
      </c>
      <c r="D26">
        <f t="shared" si="0"/>
        <v>21</v>
      </c>
      <c r="E26" s="30" cm="1">
        <f t="array" ref="E26">1*OR(row_id=income_header_row,row_id=expenses_header_row,row_id=savings_header_row)</f>
        <v>0</v>
      </c>
      <c r="F26">
        <f t="shared" si="1"/>
        <v>1</v>
      </c>
      <c r="G26" cm="1">
        <f t="array" ref="G26">1*OR(row_id=income_total_row,row_id=expenses_total_row,row_id=savings_total_row)</f>
        <v>0</v>
      </c>
      <c r="H26">
        <f t="shared" si="2"/>
        <v>0</v>
      </c>
      <c r="I26" s="30" t="str" cm="1">
        <f t="array" ref="I26">IFERROR(INDEX('Budget Planning'!$C:$C,header_row_id),"")</f>
        <v>Expenses</v>
      </c>
      <c r="J26" t="str" cm="1">
        <f t="array" ref="J26">IFERROR(INDEX('Budget Planning'!$C:$C,row_id),"")</f>
        <v>Office Mobile</v>
      </c>
      <c r="K26" s="61" cm="1">
        <f t="array" ref="K26">IF(OR(is_header,is_empty),"",
   IF(is_total,
     IF(selected_period="Total Year",
    SUM(Tracking[Amount]*(Tracking[Type]=type)*(YEAR(Tracking[Effective Date])=selected_year)),
    SUM(Tracking[Amount]*(Tracking[Type]=type)*(YEAR(Tracking[Effective Date])=selected_year)*(MONTH(Tracking[Effective Date])=selected_period))),
   IF(selected_period="Total Year",
    SUM(Tracking[Amount]*(Tracking[Type]=type)*(Tracking[Category]=item)*(YEAR(Tracking[Effective Date])=selected_year)),
    SUM(Tracking[Amount]*(Tracking[Type]=type)*(Tracking[Category]=item)*(YEAR(Tracking[Effective Date])=selected_year)*(MONTH(Tracking[Effective Date])=selected_period)))
 )
)</f>
        <v>0</v>
      </c>
      <c r="L26" s="62" cm="1">
        <f t="array" ref="L26">IF(OR(is_header,is_empty),"",
   INDEX('Budget Planning'!$E:$BU,row_id,
        MATCH(IF(selected_period="Total Year",selected_year,DATE(selected_year,selected_period,1)),'Budget Planning'!$E$9:$BU$9,0)))</f>
        <v>0</v>
      </c>
      <c r="M26" s="30" cm="1">
        <f t="array" ref="M26">IF(is_cat,
   IF(header_row_id=income_header_row,MATCH(income_min_row,$C:$C,0),
   IF(header_row_id=expenses_header_row,MATCH(expenses_min_row,$C:$C,0),
   IF(header_row_id=savings_header_row,MATCH(savings_min_row,$C:$C,0),""))),"")</f>
        <v>18</v>
      </c>
      <c r="N26" s="31" cm="1">
        <f t="array" ref="N26">IF(is_cat,
   IF(header_row_id=income_header_row,MATCH(income_max_row,$C:$C,0),
   IF(header_row_id=expenses_header_row,MATCH(expenses_max_row,$C:$C,0),
   IF(header_row_id=savings_header_row,MATCH(savings_max_row,$C:$C,0),""))),"")</f>
        <v>35</v>
      </c>
      <c r="O26" s="65" t="str">
        <f t="shared" si="3"/>
        <v>$K$18:$K$35</v>
      </c>
      <c r="P26" s="64">
        <f t="shared" ca="1" si="4"/>
        <v>1</v>
      </c>
      <c r="Q26" s="64" t="str">
        <f t="shared" si="5"/>
        <v>$L$18:$L$35</v>
      </c>
      <c r="R26" s="66">
        <f t="shared" ca="1" si="6"/>
        <v>1</v>
      </c>
      <c r="S26" s="64">
        <f t="shared" ca="1" si="7"/>
        <v>11</v>
      </c>
      <c r="T26" s="64" t="str">
        <f t="shared" si="8"/>
        <v>$S$18:$S$35</v>
      </c>
      <c r="U26" s="64">
        <f t="shared" ca="1" si="9"/>
        <v>1</v>
      </c>
      <c r="V26" s="64" t="str">
        <f t="shared" si="10"/>
        <v>$U$18:$U$26</v>
      </c>
      <c r="W26" s="66">
        <f t="shared" ca="1" si="11"/>
        <v>9</v>
      </c>
      <c r="X26" s="68">
        <f t="shared" ca="1" si="12"/>
        <v>30</v>
      </c>
      <c r="Y26" s="71" t="str">
        <f t="shared" ca="1" si="13"/>
        <v>Office Mobile</v>
      </c>
      <c r="Z26" s="72">
        <f t="shared" ca="1" si="14"/>
        <v>0</v>
      </c>
      <c r="AA26" s="72">
        <f t="shared" ca="1" si="15"/>
        <v>0</v>
      </c>
      <c r="AB26" s="70" t="str">
        <f t="shared" ca="1" si="16"/>
        <v>-</v>
      </c>
      <c r="AC26" s="72">
        <f t="shared" ca="1" si="17"/>
        <v>0</v>
      </c>
      <c r="AD26" s="72">
        <f t="shared" ca="1" si="18"/>
        <v>0</v>
      </c>
      <c r="AF26" s="75"/>
      <c r="AG26" s="76"/>
      <c r="AH26" s="76"/>
      <c r="AI26" s="76"/>
      <c r="AJ26" s="76"/>
      <c r="AK26" s="77"/>
      <c r="AM26" s="75"/>
      <c r="AN26" s="76"/>
      <c r="AO26" s="76"/>
      <c r="AP26" s="76"/>
      <c r="AQ26" s="76"/>
      <c r="AR26" s="77"/>
    </row>
    <row r="27" spans="3:44" x14ac:dyDescent="0.2">
      <c r="C27" s="30" cm="1">
        <f t="array" ref="C27">IF(C26=-1,-1,
IF(C26&lt;income_max_row,C26+1,
IF(C26=income_max_row,income_total_row,
IF(C26=income_total_row,"/1",
IF(C26="/1",expenses_header_row,
IF(C26&lt;expenses_max_row,C26+1,
IF(C26=expenses_max_row,expenses_total_row,
IF(C26=expenses_total_row,"/2",
IF(C26="/2",savings_header_row,
IF(C26&lt;savings_max_row,C26+1,
IF(C26=savings_max_row,savings_total_row,-1)))))))))))</f>
        <v>31</v>
      </c>
      <c r="D27">
        <f t="shared" si="0"/>
        <v>21</v>
      </c>
      <c r="E27" s="30" cm="1">
        <f t="array" ref="E27">1*OR(row_id=income_header_row,row_id=expenses_header_row,row_id=savings_header_row)</f>
        <v>0</v>
      </c>
      <c r="F27">
        <f t="shared" si="1"/>
        <v>1</v>
      </c>
      <c r="G27" cm="1">
        <f t="array" ref="G27">1*OR(row_id=income_total_row,row_id=expenses_total_row,row_id=savings_total_row)</f>
        <v>0</v>
      </c>
      <c r="H27">
        <f t="shared" si="2"/>
        <v>0</v>
      </c>
      <c r="I27" s="30" t="str" cm="1">
        <f t="array" ref="I27">IFERROR(INDEX('Budget Planning'!$C:$C,header_row_id),"")</f>
        <v>Expenses</v>
      </c>
      <c r="J27" t="str" cm="1">
        <f t="array" ref="J27">IFERROR(INDEX('Budget Planning'!$C:$C,row_id),"")</f>
        <v>Petrol</v>
      </c>
      <c r="K27" s="61" cm="1">
        <f t="array" ref="K27">IF(OR(is_header,is_empty),"",
   IF(is_total,
     IF(selected_period="Total Year",
    SUM(Tracking[Amount]*(Tracking[Type]=type)*(YEAR(Tracking[Effective Date])=selected_year)),
    SUM(Tracking[Amount]*(Tracking[Type]=type)*(YEAR(Tracking[Effective Date])=selected_year)*(MONTH(Tracking[Effective Date])=selected_period))),
   IF(selected_period="Total Year",
    SUM(Tracking[Amount]*(Tracking[Type]=type)*(Tracking[Category]=item)*(YEAR(Tracking[Effective Date])=selected_year)),
    SUM(Tracking[Amount]*(Tracking[Type]=type)*(Tracking[Category]=item)*(YEAR(Tracking[Effective Date])=selected_year)*(MONTH(Tracking[Effective Date])=selected_period)))
 )
)</f>
        <v>0</v>
      </c>
      <c r="L27" s="62" cm="1">
        <f t="array" ref="L27">IF(OR(is_header,is_empty),"",
   INDEX('Budget Planning'!$E:$BU,row_id,
        MATCH(IF(selected_period="Total Year",selected_year,DATE(selected_year,selected_period,1)),'Budget Planning'!$E$9:$BU$9,0)))</f>
        <v>0</v>
      </c>
      <c r="M27" s="30" cm="1">
        <f t="array" ref="M27">IF(is_cat,
   IF(header_row_id=income_header_row,MATCH(income_min_row,$C:$C,0),
   IF(header_row_id=expenses_header_row,MATCH(expenses_min_row,$C:$C,0),
   IF(header_row_id=savings_header_row,MATCH(savings_min_row,$C:$C,0),""))),"")</f>
        <v>18</v>
      </c>
      <c r="N27" s="31" cm="1">
        <f t="array" ref="N27">IF(is_cat,
   IF(header_row_id=income_header_row,MATCH(income_max_row,$C:$C,0),
   IF(header_row_id=expenses_header_row,MATCH(expenses_max_row,$C:$C,0),
   IF(header_row_id=savings_header_row,MATCH(savings_max_row,$C:$C,0),""))),"")</f>
        <v>35</v>
      </c>
      <c r="O27" s="65" t="str">
        <f t="shared" si="3"/>
        <v>$K$18:$K$35</v>
      </c>
      <c r="P27" s="64">
        <f t="shared" ca="1" si="4"/>
        <v>1</v>
      </c>
      <c r="Q27" s="64" t="str">
        <f t="shared" si="5"/>
        <v>$L$18:$L$35</v>
      </c>
      <c r="R27" s="66">
        <f t="shared" ca="1" si="6"/>
        <v>1</v>
      </c>
      <c r="S27" s="64">
        <f t="shared" ca="1" si="7"/>
        <v>11</v>
      </c>
      <c r="T27" s="64" t="str">
        <f t="shared" si="8"/>
        <v>$S$18:$S$35</v>
      </c>
      <c r="U27" s="64">
        <f t="shared" ca="1" si="9"/>
        <v>1</v>
      </c>
      <c r="V27" s="64" t="str">
        <f t="shared" si="10"/>
        <v>$U$18:$U$27</v>
      </c>
      <c r="W27" s="66">
        <f t="shared" ca="1" si="11"/>
        <v>10</v>
      </c>
      <c r="X27" s="68">
        <f t="shared" ca="1" si="12"/>
        <v>31</v>
      </c>
      <c r="Y27" s="71" t="str">
        <f t="shared" ca="1" si="13"/>
        <v>Petrol</v>
      </c>
      <c r="Z27" s="72">
        <f t="shared" ca="1" si="14"/>
        <v>0</v>
      </c>
      <c r="AA27" s="72">
        <f t="shared" ca="1" si="15"/>
        <v>0</v>
      </c>
      <c r="AB27" s="70" t="str">
        <f t="shared" ca="1" si="16"/>
        <v>-</v>
      </c>
      <c r="AC27" s="72">
        <f t="shared" ca="1" si="17"/>
        <v>0</v>
      </c>
      <c r="AD27" s="72">
        <f t="shared" ca="1" si="18"/>
        <v>0</v>
      </c>
      <c r="AF27" s="30"/>
      <c r="AK27" s="31"/>
      <c r="AM27" s="30"/>
      <c r="AR27" s="31"/>
    </row>
    <row r="28" spans="3:44" x14ac:dyDescent="0.2">
      <c r="C28" s="30" cm="1">
        <f t="array" ref="C28">IF(C27=-1,-1,
IF(C27&lt;income_max_row,C27+1,
IF(C27=income_max_row,income_total_row,
IF(C27=income_total_row,"/1",
IF(C27="/1",expenses_header_row,
IF(C27&lt;expenses_max_row,C27+1,
IF(C27=expenses_max_row,expenses_total_row,
IF(C27=expenses_total_row,"/2",
IF(C27="/2",savings_header_row,
IF(C27&lt;savings_max_row,C27+1,
IF(C27=savings_max_row,savings_total_row,-1)))))))))))</f>
        <v>32</v>
      </c>
      <c r="D28">
        <f t="shared" si="0"/>
        <v>21</v>
      </c>
      <c r="E28" s="30" cm="1">
        <f t="array" ref="E28">1*OR(row_id=income_header_row,row_id=expenses_header_row,row_id=savings_header_row)</f>
        <v>0</v>
      </c>
      <c r="F28">
        <f t="shared" si="1"/>
        <v>1</v>
      </c>
      <c r="G28" cm="1">
        <f t="array" ref="G28">1*OR(row_id=income_total_row,row_id=expenses_total_row,row_id=savings_total_row)</f>
        <v>0</v>
      </c>
      <c r="H28">
        <f t="shared" si="2"/>
        <v>0</v>
      </c>
      <c r="I28" s="30" t="str" cm="1">
        <f t="array" ref="I28">IFERROR(INDEX('Budget Planning'!$C:$C,header_row_id),"")</f>
        <v>Expenses</v>
      </c>
      <c r="J28" t="str" cm="1">
        <f t="array" ref="J28">IFERROR(INDEX('Budget Planning'!$C:$C,row_id),"")</f>
        <v>Car Maintenance</v>
      </c>
      <c r="K28" s="61" cm="1">
        <f t="array" ref="K28">IF(OR(is_header,is_empty),"",
   IF(is_total,
     IF(selected_period="Total Year",
    SUM(Tracking[Amount]*(Tracking[Type]=type)*(YEAR(Tracking[Effective Date])=selected_year)),
    SUM(Tracking[Amount]*(Tracking[Type]=type)*(YEAR(Tracking[Effective Date])=selected_year)*(MONTH(Tracking[Effective Date])=selected_period))),
   IF(selected_period="Total Year",
    SUM(Tracking[Amount]*(Tracking[Type]=type)*(Tracking[Category]=item)*(YEAR(Tracking[Effective Date])=selected_year)),
    SUM(Tracking[Amount]*(Tracking[Type]=type)*(Tracking[Category]=item)*(YEAR(Tracking[Effective Date])=selected_year)*(MONTH(Tracking[Effective Date])=selected_period)))
 )
)</f>
        <v>0</v>
      </c>
      <c r="L28" s="62" cm="1">
        <f t="array" ref="L28">IF(OR(is_header,is_empty),"",
   INDEX('Budget Planning'!$E:$BU,row_id,
        MATCH(IF(selected_period="Total Year",selected_year,DATE(selected_year,selected_period,1)),'Budget Planning'!$E$9:$BU$9,0)))</f>
        <v>0</v>
      </c>
      <c r="M28" s="30" cm="1">
        <f t="array" ref="M28">IF(is_cat,
   IF(header_row_id=income_header_row,MATCH(income_min_row,$C:$C,0),
   IF(header_row_id=expenses_header_row,MATCH(expenses_min_row,$C:$C,0),
   IF(header_row_id=savings_header_row,MATCH(savings_min_row,$C:$C,0),""))),"")</f>
        <v>18</v>
      </c>
      <c r="N28" s="31" cm="1">
        <f t="array" ref="N28">IF(is_cat,
   IF(header_row_id=income_header_row,MATCH(income_max_row,$C:$C,0),
   IF(header_row_id=expenses_header_row,MATCH(expenses_max_row,$C:$C,0),
   IF(header_row_id=savings_header_row,MATCH(savings_max_row,$C:$C,0),""))),"")</f>
        <v>35</v>
      </c>
      <c r="O28" s="65" t="str">
        <f t="shared" si="3"/>
        <v>$K$18:$K$35</v>
      </c>
      <c r="P28" s="64">
        <f t="shared" ca="1" si="4"/>
        <v>1</v>
      </c>
      <c r="Q28" s="64" t="str">
        <f t="shared" si="5"/>
        <v>$L$18:$L$35</v>
      </c>
      <c r="R28" s="66">
        <f t="shared" ca="1" si="6"/>
        <v>1</v>
      </c>
      <c r="S28" s="64">
        <f t="shared" ca="1" si="7"/>
        <v>11</v>
      </c>
      <c r="T28" s="64" t="str">
        <f t="shared" si="8"/>
        <v>$S$18:$S$35</v>
      </c>
      <c r="U28" s="64">
        <f t="shared" ca="1" si="9"/>
        <v>1</v>
      </c>
      <c r="V28" s="64" t="str">
        <f t="shared" si="10"/>
        <v>$U$18:$U$28</v>
      </c>
      <c r="W28" s="66">
        <f t="shared" ca="1" si="11"/>
        <v>11</v>
      </c>
      <c r="X28" s="68">
        <f t="shared" ca="1" si="12"/>
        <v>32</v>
      </c>
      <c r="Y28" s="71" t="str">
        <f t="shared" ca="1" si="13"/>
        <v>Car Maintenance</v>
      </c>
      <c r="Z28" s="72">
        <f t="shared" ca="1" si="14"/>
        <v>0</v>
      </c>
      <c r="AA28" s="72">
        <f t="shared" ca="1" si="15"/>
        <v>0</v>
      </c>
      <c r="AB28" s="70" t="str">
        <f t="shared" ca="1" si="16"/>
        <v>-</v>
      </c>
      <c r="AC28" s="72">
        <f t="shared" ca="1" si="17"/>
        <v>0</v>
      </c>
      <c r="AD28" s="72">
        <f t="shared" ca="1" si="18"/>
        <v>0</v>
      </c>
      <c r="AF28" s="30"/>
      <c r="AK28" s="31"/>
      <c r="AM28" s="30"/>
      <c r="AR28" s="31"/>
    </row>
    <row r="29" spans="3:44" x14ac:dyDescent="0.2">
      <c r="C29" s="30" cm="1">
        <f t="array" ref="C29">IF(C28=-1,-1,
IF(C28&lt;income_max_row,C28+1,
IF(C28=income_max_row,income_total_row,
IF(C28=income_total_row,"/1",
IF(C28="/1",expenses_header_row,
IF(C28&lt;expenses_max_row,C28+1,
IF(C28=expenses_max_row,expenses_total_row,
IF(C28=expenses_total_row,"/2",
IF(C28="/2",savings_header_row,
IF(C28&lt;savings_max_row,C28+1,
IF(C28=savings_max_row,savings_total_row,-1)))))))))))</f>
        <v>33</v>
      </c>
      <c r="D29">
        <f t="shared" si="0"/>
        <v>21</v>
      </c>
      <c r="E29" s="30" cm="1">
        <f t="array" ref="E29">1*OR(row_id=income_header_row,row_id=expenses_header_row,row_id=savings_header_row)</f>
        <v>0</v>
      </c>
      <c r="F29">
        <f t="shared" si="1"/>
        <v>1</v>
      </c>
      <c r="G29" cm="1">
        <f t="array" ref="G29">1*OR(row_id=income_total_row,row_id=expenses_total_row,row_id=savings_total_row)</f>
        <v>0</v>
      </c>
      <c r="H29">
        <f t="shared" si="2"/>
        <v>0</v>
      </c>
      <c r="I29" s="30" t="str" cm="1">
        <f t="array" ref="I29">IFERROR(INDEX('Budget Planning'!$C:$C,header_row_id),"")</f>
        <v>Expenses</v>
      </c>
      <c r="J29" t="str" cm="1">
        <f t="array" ref="J29">IFERROR(INDEX('Budget Planning'!$C:$C,row_id),"")</f>
        <v>Expense 5</v>
      </c>
      <c r="K29" s="61" cm="1">
        <f t="array" ref="K29">IF(OR(is_header,is_empty),"",
   IF(is_total,
     IF(selected_period="Total Year",
    SUM(Tracking[Amount]*(Tracking[Type]=type)*(YEAR(Tracking[Effective Date])=selected_year)),
    SUM(Tracking[Amount]*(Tracking[Type]=type)*(YEAR(Tracking[Effective Date])=selected_year)*(MONTH(Tracking[Effective Date])=selected_period))),
   IF(selected_period="Total Year",
    SUM(Tracking[Amount]*(Tracking[Type]=type)*(Tracking[Category]=item)*(YEAR(Tracking[Effective Date])=selected_year)),
    SUM(Tracking[Amount]*(Tracking[Type]=type)*(Tracking[Category]=item)*(YEAR(Tracking[Effective Date])=selected_year)*(MONTH(Tracking[Effective Date])=selected_period)))
 )
)</f>
        <v>0</v>
      </c>
      <c r="L29" s="62" cm="1">
        <f t="array" ref="L29">IF(OR(is_header,is_empty),"",
   INDEX('Budget Planning'!$E:$BU,row_id,
        MATCH(IF(selected_period="Total Year",selected_year,DATE(selected_year,selected_period,1)),'Budget Planning'!$E$9:$BU$9,0)))</f>
        <v>0</v>
      </c>
      <c r="M29" s="30" cm="1">
        <f t="array" ref="M29">IF(is_cat,
   IF(header_row_id=income_header_row,MATCH(income_min_row,$C:$C,0),
   IF(header_row_id=expenses_header_row,MATCH(expenses_min_row,$C:$C,0),
   IF(header_row_id=savings_header_row,MATCH(savings_min_row,$C:$C,0),""))),"")</f>
        <v>18</v>
      </c>
      <c r="N29" s="31" cm="1">
        <f t="array" ref="N29">IF(is_cat,
   IF(header_row_id=income_header_row,MATCH(income_max_row,$C:$C,0),
   IF(header_row_id=expenses_header_row,MATCH(expenses_max_row,$C:$C,0),
   IF(header_row_id=savings_header_row,MATCH(savings_max_row,$C:$C,0),""))),"")</f>
        <v>35</v>
      </c>
      <c r="O29" s="65" t="str">
        <f t="shared" si="3"/>
        <v>$K$18:$K$35</v>
      </c>
      <c r="P29" s="64">
        <f t="shared" ca="1" si="4"/>
        <v>1</v>
      </c>
      <c r="Q29" s="64" t="str">
        <f t="shared" si="5"/>
        <v>$L$18:$L$35</v>
      </c>
      <c r="R29" s="66">
        <f t="shared" ca="1" si="6"/>
        <v>1</v>
      </c>
      <c r="S29" s="64">
        <f t="shared" ca="1" si="7"/>
        <v>11</v>
      </c>
      <c r="T29" s="64" t="str">
        <f t="shared" si="8"/>
        <v>$S$18:$S$35</v>
      </c>
      <c r="U29" s="64">
        <f t="shared" ca="1" si="9"/>
        <v>1</v>
      </c>
      <c r="V29" s="64" t="str">
        <f t="shared" si="10"/>
        <v>$U$18:$U$29</v>
      </c>
      <c r="W29" s="66">
        <f t="shared" ca="1" si="11"/>
        <v>12</v>
      </c>
      <c r="X29" s="68">
        <f t="shared" ca="1" si="12"/>
        <v>33</v>
      </c>
      <c r="Y29" s="71" t="str">
        <f t="shared" ca="1" si="13"/>
        <v>Expense 5</v>
      </c>
      <c r="Z29" s="72">
        <f t="shared" ca="1" si="14"/>
        <v>0</v>
      </c>
      <c r="AA29" s="72">
        <f t="shared" ca="1" si="15"/>
        <v>0</v>
      </c>
      <c r="AB29" s="70" t="str">
        <f t="shared" ca="1" si="16"/>
        <v>-</v>
      </c>
      <c r="AC29" s="72">
        <f t="shared" ca="1" si="17"/>
        <v>0</v>
      </c>
      <c r="AD29" s="72">
        <f t="shared" ca="1" si="18"/>
        <v>0</v>
      </c>
      <c r="AF29" s="30"/>
      <c r="AI29" s="87" t="str">
        <f ca="1">Calculations!I35</f>
        <v/>
      </c>
      <c r="AJ29" s="88" t="str">
        <f ca="1">Calculations!J35</f>
        <v/>
      </c>
      <c r="AK29" s="31"/>
      <c r="AM29" s="30"/>
      <c r="AP29" s="87" t="str">
        <f ca="1">Calculations!M35</f>
        <v/>
      </c>
      <c r="AQ29" s="88" t="str">
        <f ca="1">Calculations!N35</f>
        <v/>
      </c>
      <c r="AR29" s="31"/>
    </row>
    <row r="30" spans="3:44" x14ac:dyDescent="0.2">
      <c r="C30" s="30" cm="1">
        <f t="array" ref="C30">IF(C29=-1,-1,
IF(C29&lt;income_max_row,C29+1,
IF(C29=income_max_row,income_total_row,
IF(C29=income_total_row,"/1",
IF(C29="/1",expenses_header_row,
IF(C29&lt;expenses_max_row,C29+1,
IF(C29=expenses_max_row,expenses_total_row,
IF(C29=expenses_total_row,"/2",
IF(C29="/2",savings_header_row,
IF(C29&lt;savings_max_row,C29+1,
IF(C29=savings_max_row,savings_total_row,-1)))))))))))</f>
        <v>34</v>
      </c>
      <c r="D30">
        <f t="shared" si="0"/>
        <v>21</v>
      </c>
      <c r="E30" s="30" cm="1">
        <f t="array" ref="E30">1*OR(row_id=income_header_row,row_id=expenses_header_row,row_id=savings_header_row)</f>
        <v>0</v>
      </c>
      <c r="F30">
        <f t="shared" si="1"/>
        <v>1</v>
      </c>
      <c r="G30" cm="1">
        <f t="array" ref="G30">1*OR(row_id=income_total_row,row_id=expenses_total_row,row_id=savings_total_row)</f>
        <v>0</v>
      </c>
      <c r="H30">
        <f t="shared" si="2"/>
        <v>0</v>
      </c>
      <c r="I30" s="30" t="str" cm="1">
        <f t="array" ref="I30">IFERROR(INDEX('Budget Planning'!$C:$C,header_row_id),"")</f>
        <v>Expenses</v>
      </c>
      <c r="J30" t="str" cm="1">
        <f t="array" ref="J30">IFERROR(INDEX('Budget Planning'!$C:$C,row_id),"")</f>
        <v>Salary</v>
      </c>
      <c r="K30" s="61" cm="1">
        <f t="array" ref="K30">IF(OR(is_header,is_empty),"",
   IF(is_total,
     IF(selected_period="Total Year",
    SUM(Tracking[Amount]*(Tracking[Type]=type)*(YEAR(Tracking[Effective Date])=selected_year)),
    SUM(Tracking[Amount]*(Tracking[Type]=type)*(YEAR(Tracking[Effective Date])=selected_year)*(MONTH(Tracking[Effective Date])=selected_period))),
   IF(selected_period="Total Year",
    SUM(Tracking[Amount]*(Tracking[Type]=type)*(Tracking[Category]=item)*(YEAR(Tracking[Effective Date])=selected_year)),
    SUM(Tracking[Amount]*(Tracking[Type]=type)*(Tracking[Category]=item)*(YEAR(Tracking[Effective Date])=selected_year)*(MONTH(Tracking[Effective Date])=selected_period)))
 )
)</f>
        <v>0</v>
      </c>
      <c r="L30" s="62" cm="1">
        <f t="array" ref="L30">IF(OR(is_header,is_empty),"",
   INDEX('Budget Planning'!$E:$BU,row_id,
        MATCH(IF(selected_period="Total Year",selected_year,DATE(selected_year,selected_period,1)),'Budget Planning'!$E$9:$BU$9,0)))</f>
        <v>0</v>
      </c>
      <c r="M30" s="30" cm="1">
        <f t="array" ref="M30">IF(is_cat,
   IF(header_row_id=income_header_row,MATCH(income_min_row,$C:$C,0),
   IF(header_row_id=expenses_header_row,MATCH(expenses_min_row,$C:$C,0),
   IF(header_row_id=savings_header_row,MATCH(savings_min_row,$C:$C,0),""))),"")</f>
        <v>18</v>
      </c>
      <c r="N30" s="31" cm="1">
        <f t="array" ref="N30">IF(is_cat,
   IF(header_row_id=income_header_row,MATCH(income_max_row,$C:$C,0),
   IF(header_row_id=expenses_header_row,MATCH(expenses_max_row,$C:$C,0),
   IF(header_row_id=savings_header_row,MATCH(savings_max_row,$C:$C,0),""))),"")</f>
        <v>35</v>
      </c>
      <c r="O30" s="65" t="str">
        <f t="shared" si="3"/>
        <v>$K$18:$K$35</v>
      </c>
      <c r="P30" s="64">
        <f t="shared" ca="1" si="4"/>
        <v>1</v>
      </c>
      <c r="Q30" s="64" t="str">
        <f t="shared" si="5"/>
        <v>$L$18:$L$35</v>
      </c>
      <c r="R30" s="66">
        <f t="shared" ca="1" si="6"/>
        <v>1</v>
      </c>
      <c r="S30" s="64">
        <f t="shared" ca="1" si="7"/>
        <v>11</v>
      </c>
      <c r="T30" s="64" t="str">
        <f t="shared" si="8"/>
        <v>$S$18:$S$35</v>
      </c>
      <c r="U30" s="64">
        <f t="shared" ca="1" si="9"/>
        <v>1</v>
      </c>
      <c r="V30" s="64" t="str">
        <f t="shared" si="10"/>
        <v>$U$18:$U$30</v>
      </c>
      <c r="W30" s="66">
        <f t="shared" ca="1" si="11"/>
        <v>13</v>
      </c>
      <c r="X30" s="68">
        <f t="shared" ca="1" si="12"/>
        <v>34</v>
      </c>
      <c r="Y30" s="71" t="str">
        <f t="shared" ca="1" si="13"/>
        <v>Salary</v>
      </c>
      <c r="Z30" s="72">
        <f t="shared" ca="1" si="14"/>
        <v>0</v>
      </c>
      <c r="AA30" s="72">
        <f t="shared" ca="1" si="15"/>
        <v>0</v>
      </c>
      <c r="AB30" s="70" t="str">
        <f t="shared" ca="1" si="16"/>
        <v>-</v>
      </c>
      <c r="AC30" s="72">
        <f t="shared" ca="1" si="17"/>
        <v>0</v>
      </c>
      <c r="AD30" s="72">
        <f t="shared" ca="1" si="18"/>
        <v>0</v>
      </c>
      <c r="AF30" s="30"/>
      <c r="AI30" s="87" t="str">
        <f ca="1">Calculations!I36</f>
        <v/>
      </c>
      <c r="AJ30" s="88" t="str">
        <f ca="1">Calculations!J36</f>
        <v/>
      </c>
      <c r="AK30" s="31"/>
      <c r="AM30" s="30"/>
      <c r="AP30" s="87" t="str">
        <f>Calculations!M36</f>
        <v/>
      </c>
      <c r="AQ30" s="88" t="str">
        <f>Calculations!N36</f>
        <v/>
      </c>
      <c r="AR30" s="31"/>
    </row>
    <row r="31" spans="3:44" x14ac:dyDescent="0.2">
      <c r="C31" s="30" cm="1">
        <f t="array" ref="C31">IF(C30=-1,-1,
IF(C30&lt;income_max_row,C30+1,
IF(C30=income_max_row,income_total_row,
IF(C30=income_total_row,"/1",
IF(C30="/1",expenses_header_row,
IF(C30&lt;expenses_max_row,C30+1,
IF(C30=expenses_max_row,expenses_total_row,
IF(C30=expenses_total_row,"/2",
IF(C30="/2",savings_header_row,
IF(C30&lt;savings_max_row,C30+1,
IF(C30=savings_max_row,savings_total_row,-1)))))))))))</f>
        <v>35</v>
      </c>
      <c r="D31">
        <f t="shared" si="0"/>
        <v>21</v>
      </c>
      <c r="E31" s="30" cm="1">
        <f t="array" ref="E31">1*OR(row_id=income_header_row,row_id=expenses_header_row,row_id=savings_header_row)</f>
        <v>0</v>
      </c>
      <c r="F31">
        <f t="shared" si="1"/>
        <v>1</v>
      </c>
      <c r="G31" cm="1">
        <f t="array" ref="G31">1*OR(row_id=income_total_row,row_id=expenses_total_row,row_id=savings_total_row)</f>
        <v>0</v>
      </c>
      <c r="H31">
        <f t="shared" si="2"/>
        <v>0</v>
      </c>
      <c r="I31" s="30" t="str" cm="1">
        <f t="array" ref="I31">IFERROR(INDEX('Budget Planning'!$C:$C,header_row_id),"")</f>
        <v>Expenses</v>
      </c>
      <c r="J31" t="str" cm="1">
        <f t="array" ref="J31">IFERROR(INDEX('Budget Planning'!$C:$C,row_id),"")</f>
        <v>Travel &amp; Misc.</v>
      </c>
      <c r="K31" s="61" cm="1">
        <f t="array" ref="K31">IF(OR(is_header,is_empty),"",
   IF(is_total,
     IF(selected_period="Total Year",
    SUM(Tracking[Amount]*(Tracking[Type]=type)*(YEAR(Tracking[Effective Date])=selected_year)),
    SUM(Tracking[Amount]*(Tracking[Type]=type)*(YEAR(Tracking[Effective Date])=selected_year)*(MONTH(Tracking[Effective Date])=selected_period))),
   IF(selected_period="Total Year",
    SUM(Tracking[Amount]*(Tracking[Type]=type)*(Tracking[Category]=item)*(YEAR(Tracking[Effective Date])=selected_year)),
    SUM(Tracking[Amount]*(Tracking[Type]=type)*(Tracking[Category]=item)*(YEAR(Tracking[Effective Date])=selected_year)*(MONTH(Tracking[Effective Date])=selected_period)))
 )
)</f>
        <v>0</v>
      </c>
      <c r="L31" s="62" cm="1">
        <f t="array" ref="L31">IF(OR(is_header,is_empty),"",
   INDEX('Budget Planning'!$E:$BU,row_id,
        MATCH(IF(selected_period="Total Year",selected_year,DATE(selected_year,selected_period,1)),'Budget Planning'!$E$9:$BU$9,0)))</f>
        <v>0</v>
      </c>
      <c r="M31" s="30" cm="1">
        <f t="array" ref="M31">IF(is_cat,
   IF(header_row_id=income_header_row,MATCH(income_min_row,$C:$C,0),
   IF(header_row_id=expenses_header_row,MATCH(expenses_min_row,$C:$C,0),
   IF(header_row_id=savings_header_row,MATCH(savings_min_row,$C:$C,0),""))),"")</f>
        <v>18</v>
      </c>
      <c r="N31" s="31" cm="1">
        <f t="array" ref="N31">IF(is_cat,
   IF(header_row_id=income_header_row,MATCH(income_max_row,$C:$C,0),
   IF(header_row_id=expenses_header_row,MATCH(expenses_max_row,$C:$C,0),
   IF(header_row_id=savings_header_row,MATCH(savings_max_row,$C:$C,0),""))),"")</f>
        <v>35</v>
      </c>
      <c r="O31" s="65" t="str">
        <f t="shared" si="3"/>
        <v>$K$18:$K$35</v>
      </c>
      <c r="P31" s="64">
        <f t="shared" ca="1" si="4"/>
        <v>1</v>
      </c>
      <c r="Q31" s="64" t="str">
        <f t="shared" si="5"/>
        <v>$L$18:$L$35</v>
      </c>
      <c r="R31" s="66">
        <f t="shared" ca="1" si="6"/>
        <v>1</v>
      </c>
      <c r="S31" s="64">
        <f t="shared" ca="1" si="7"/>
        <v>11</v>
      </c>
      <c r="T31" s="64" t="str">
        <f t="shared" si="8"/>
        <v>$S$18:$S$35</v>
      </c>
      <c r="U31" s="64">
        <f t="shared" ca="1" si="9"/>
        <v>1</v>
      </c>
      <c r="V31" s="64" t="str">
        <f t="shared" si="10"/>
        <v>$U$18:$U$31</v>
      </c>
      <c r="W31" s="66">
        <f t="shared" ca="1" si="11"/>
        <v>14</v>
      </c>
      <c r="X31" s="68">
        <f t="shared" ca="1" si="12"/>
        <v>35</v>
      </c>
      <c r="Y31" s="71" t="str">
        <f t="shared" ca="1" si="13"/>
        <v>Travel &amp; Misc.</v>
      </c>
      <c r="Z31" s="72">
        <f t="shared" ca="1" si="14"/>
        <v>0</v>
      </c>
      <c r="AA31" s="72">
        <f t="shared" ca="1" si="15"/>
        <v>0</v>
      </c>
      <c r="AB31" s="70" t="str">
        <f t="shared" ca="1" si="16"/>
        <v>-</v>
      </c>
      <c r="AC31" s="72">
        <f t="shared" ca="1" si="17"/>
        <v>0</v>
      </c>
      <c r="AD31" s="72">
        <f t="shared" ca="1" si="18"/>
        <v>0</v>
      </c>
      <c r="AF31" s="30"/>
      <c r="AI31" s="87" t="str">
        <f ca="1">Calculations!I37</f>
        <v/>
      </c>
      <c r="AJ31" s="88" t="str">
        <f ca="1">Calculations!J37</f>
        <v/>
      </c>
      <c r="AK31" s="31"/>
      <c r="AM31" s="30"/>
      <c r="AP31" s="87" t="str">
        <f>Calculations!M37</f>
        <v/>
      </c>
      <c r="AQ31" s="88" t="str">
        <f>Calculations!N37</f>
        <v/>
      </c>
      <c r="AR31" s="31"/>
    </row>
    <row r="32" spans="3:44" x14ac:dyDescent="0.2">
      <c r="C32" s="30" cm="1">
        <f t="array" ref="C32">IF(C31=-1,-1,
IF(C31&lt;income_max_row,C31+1,
IF(C31=income_max_row,income_total_row,
IF(C31=income_total_row,"/1",
IF(C31="/1",expenses_header_row,
IF(C31&lt;expenses_max_row,C31+1,
IF(C31=expenses_max_row,expenses_total_row,
IF(C31=expenses_total_row,"/2",
IF(C31="/2",savings_header_row,
IF(C31&lt;savings_max_row,C31+1,
IF(C31=savings_max_row,savings_total_row,-1)))))))))))</f>
        <v>36</v>
      </c>
      <c r="D32">
        <f t="shared" si="0"/>
        <v>21</v>
      </c>
      <c r="E32" s="30" cm="1">
        <f t="array" ref="E32">1*OR(row_id=income_header_row,row_id=expenses_header_row,row_id=savings_header_row)</f>
        <v>0</v>
      </c>
      <c r="F32">
        <f t="shared" si="1"/>
        <v>1</v>
      </c>
      <c r="G32" cm="1">
        <f t="array" ref="G32">1*OR(row_id=income_total_row,row_id=expenses_total_row,row_id=savings_total_row)</f>
        <v>0</v>
      </c>
      <c r="H32">
        <f t="shared" si="2"/>
        <v>0</v>
      </c>
      <c r="I32" s="30" t="str" cm="1">
        <f t="array" ref="I32">IFERROR(INDEX('Budget Planning'!$C:$C,header_row_id),"")</f>
        <v>Expenses</v>
      </c>
      <c r="J32" t="str" cm="1">
        <f t="array" ref="J32">IFERROR(INDEX('Budget Planning'!$C:$C,row_id),"")</f>
        <v>Expense 6</v>
      </c>
      <c r="K32" s="61" cm="1">
        <f t="array" ref="K32">IF(OR(is_header,is_empty),"",
   IF(is_total,
     IF(selected_period="Total Year",
    SUM(Tracking[Amount]*(Tracking[Type]=type)*(YEAR(Tracking[Effective Date])=selected_year)),
    SUM(Tracking[Amount]*(Tracking[Type]=type)*(YEAR(Tracking[Effective Date])=selected_year)*(MONTH(Tracking[Effective Date])=selected_period))),
   IF(selected_period="Total Year",
    SUM(Tracking[Amount]*(Tracking[Type]=type)*(Tracking[Category]=item)*(YEAR(Tracking[Effective Date])=selected_year)),
    SUM(Tracking[Amount]*(Tracking[Type]=type)*(Tracking[Category]=item)*(YEAR(Tracking[Effective Date])=selected_year)*(MONTH(Tracking[Effective Date])=selected_period)))
 )
)</f>
        <v>0</v>
      </c>
      <c r="L32" s="62" cm="1">
        <f t="array" ref="L32">IF(OR(is_header,is_empty),"",
   INDEX('Budget Planning'!$E:$BU,row_id,
        MATCH(IF(selected_period="Total Year",selected_year,DATE(selected_year,selected_period,1)),'Budget Planning'!$E$9:$BU$9,0)))</f>
        <v>0</v>
      </c>
      <c r="M32" s="30" cm="1">
        <f t="array" ref="M32">IF(is_cat,
   IF(header_row_id=income_header_row,MATCH(income_min_row,$C:$C,0),
   IF(header_row_id=expenses_header_row,MATCH(expenses_min_row,$C:$C,0),
   IF(header_row_id=savings_header_row,MATCH(savings_min_row,$C:$C,0),""))),"")</f>
        <v>18</v>
      </c>
      <c r="N32" s="31" cm="1">
        <f t="array" ref="N32">IF(is_cat,
   IF(header_row_id=income_header_row,MATCH(income_max_row,$C:$C,0),
   IF(header_row_id=expenses_header_row,MATCH(expenses_max_row,$C:$C,0),
   IF(header_row_id=savings_header_row,MATCH(savings_max_row,$C:$C,0),""))),"")</f>
        <v>35</v>
      </c>
      <c r="O32" s="65" t="str">
        <f t="shared" si="3"/>
        <v>$K$18:$K$35</v>
      </c>
      <c r="P32" s="64">
        <f t="shared" ca="1" si="4"/>
        <v>1</v>
      </c>
      <c r="Q32" s="64" t="str">
        <f t="shared" si="5"/>
        <v>$L$18:$L$35</v>
      </c>
      <c r="R32" s="66">
        <f t="shared" ca="1" si="6"/>
        <v>1</v>
      </c>
      <c r="S32" s="64">
        <f t="shared" ca="1" si="7"/>
        <v>11</v>
      </c>
      <c r="T32" s="64" t="str">
        <f t="shared" si="8"/>
        <v>$S$18:$S$35</v>
      </c>
      <c r="U32" s="64">
        <f t="shared" ca="1" si="9"/>
        <v>1</v>
      </c>
      <c r="V32" s="64" t="str">
        <f t="shared" si="10"/>
        <v>$U$18:$U$32</v>
      </c>
      <c r="W32" s="66">
        <f t="shared" ca="1" si="11"/>
        <v>15</v>
      </c>
      <c r="X32" s="68">
        <f t="shared" ca="1" si="12"/>
        <v>36</v>
      </c>
      <c r="Y32" s="71" t="str">
        <f t="shared" ca="1" si="13"/>
        <v>Expense 6</v>
      </c>
      <c r="Z32" s="72">
        <f t="shared" ca="1" si="14"/>
        <v>0</v>
      </c>
      <c r="AA32" s="72">
        <f t="shared" ca="1" si="15"/>
        <v>0</v>
      </c>
      <c r="AB32" s="70" t="str">
        <f t="shared" ca="1" si="16"/>
        <v>-</v>
      </c>
      <c r="AC32" s="72">
        <f t="shared" ca="1" si="17"/>
        <v>0</v>
      </c>
      <c r="AD32" s="72">
        <f t="shared" ca="1" si="18"/>
        <v>0</v>
      </c>
      <c r="AF32" s="30"/>
      <c r="AI32" s="87" t="str">
        <f ca="1">Calculations!I38</f>
        <v/>
      </c>
      <c r="AJ32" s="88" t="str">
        <f ca="1">Calculations!J38</f>
        <v/>
      </c>
      <c r="AK32" s="31"/>
      <c r="AM32" s="30"/>
      <c r="AP32" s="87" t="str">
        <f>Calculations!M38</f>
        <v/>
      </c>
      <c r="AQ32" s="88" t="str">
        <f>Calculations!N38</f>
        <v/>
      </c>
      <c r="AR32" s="31"/>
    </row>
    <row r="33" spans="3:44" x14ac:dyDescent="0.2">
      <c r="C33" s="30" cm="1">
        <f t="array" ref="C33">IF(C32=-1,-1,
IF(C32&lt;income_max_row,C32+1,
IF(C32=income_max_row,income_total_row,
IF(C32=income_total_row,"/1",
IF(C32="/1",expenses_header_row,
IF(C32&lt;expenses_max_row,C32+1,
IF(C32=expenses_max_row,expenses_total_row,
IF(C32=expenses_total_row,"/2",
IF(C32="/2",savings_header_row,
IF(C32&lt;savings_max_row,C32+1,
IF(C32=savings_max_row,savings_total_row,-1)))))))))))</f>
        <v>37</v>
      </c>
      <c r="D33">
        <f t="shared" si="0"/>
        <v>21</v>
      </c>
      <c r="E33" s="30" cm="1">
        <f t="array" ref="E33">1*OR(row_id=income_header_row,row_id=expenses_header_row,row_id=savings_header_row)</f>
        <v>0</v>
      </c>
      <c r="F33">
        <f t="shared" si="1"/>
        <v>1</v>
      </c>
      <c r="G33" cm="1">
        <f t="array" ref="G33">1*OR(row_id=income_total_row,row_id=expenses_total_row,row_id=savings_total_row)</f>
        <v>0</v>
      </c>
      <c r="H33">
        <f t="shared" si="2"/>
        <v>0</v>
      </c>
      <c r="I33" s="30" t="str" cm="1">
        <f t="array" ref="I33">IFERROR(INDEX('Budget Planning'!$C:$C,header_row_id),"")</f>
        <v>Expenses</v>
      </c>
      <c r="J33" t="str" cm="1">
        <f t="array" ref="J33">IFERROR(INDEX('Budget Planning'!$C:$C,row_id),"")</f>
        <v>Expense 7</v>
      </c>
      <c r="K33" s="61" cm="1">
        <f t="array" ref="K33">IF(OR(is_header,is_empty),"",
   IF(is_total,
     IF(selected_period="Total Year",
    SUM(Tracking[Amount]*(Tracking[Type]=type)*(YEAR(Tracking[Effective Date])=selected_year)),
    SUM(Tracking[Amount]*(Tracking[Type]=type)*(YEAR(Tracking[Effective Date])=selected_year)*(MONTH(Tracking[Effective Date])=selected_period))),
   IF(selected_period="Total Year",
    SUM(Tracking[Amount]*(Tracking[Type]=type)*(Tracking[Category]=item)*(YEAR(Tracking[Effective Date])=selected_year)),
    SUM(Tracking[Amount]*(Tracking[Type]=type)*(Tracking[Category]=item)*(YEAR(Tracking[Effective Date])=selected_year)*(MONTH(Tracking[Effective Date])=selected_period)))
 )
)</f>
        <v>0</v>
      </c>
      <c r="L33" s="62" cm="1">
        <f t="array" ref="L33">IF(OR(is_header,is_empty),"",
   INDEX('Budget Planning'!$E:$BU,row_id,
        MATCH(IF(selected_period="Total Year",selected_year,DATE(selected_year,selected_period,1)),'Budget Planning'!$E$9:$BU$9,0)))</f>
        <v>0</v>
      </c>
      <c r="M33" s="30" cm="1">
        <f t="array" ref="M33">IF(is_cat,
   IF(header_row_id=income_header_row,MATCH(income_min_row,$C:$C,0),
   IF(header_row_id=expenses_header_row,MATCH(expenses_min_row,$C:$C,0),
   IF(header_row_id=savings_header_row,MATCH(savings_min_row,$C:$C,0),""))),"")</f>
        <v>18</v>
      </c>
      <c r="N33" s="31" cm="1">
        <f t="array" ref="N33">IF(is_cat,
   IF(header_row_id=income_header_row,MATCH(income_max_row,$C:$C,0),
   IF(header_row_id=expenses_header_row,MATCH(expenses_max_row,$C:$C,0),
   IF(header_row_id=savings_header_row,MATCH(savings_max_row,$C:$C,0),""))),"")</f>
        <v>35</v>
      </c>
      <c r="O33" s="65" t="str">
        <f t="shared" si="3"/>
        <v>$K$18:$K$35</v>
      </c>
      <c r="P33" s="64">
        <f t="shared" ca="1" si="4"/>
        <v>1</v>
      </c>
      <c r="Q33" s="64" t="str">
        <f t="shared" si="5"/>
        <v>$L$18:$L$35</v>
      </c>
      <c r="R33" s="66">
        <f t="shared" ca="1" si="6"/>
        <v>1</v>
      </c>
      <c r="S33" s="64">
        <f t="shared" ca="1" si="7"/>
        <v>11</v>
      </c>
      <c r="T33" s="64" t="str">
        <f t="shared" si="8"/>
        <v>$S$18:$S$35</v>
      </c>
      <c r="U33" s="64">
        <f t="shared" ca="1" si="9"/>
        <v>1</v>
      </c>
      <c r="V33" s="64" t="str">
        <f t="shared" si="10"/>
        <v>$U$18:$U$33</v>
      </c>
      <c r="W33" s="66">
        <f t="shared" ca="1" si="11"/>
        <v>16</v>
      </c>
      <c r="X33" s="68">
        <f t="shared" ca="1" si="12"/>
        <v>37</v>
      </c>
      <c r="Y33" s="71" t="str">
        <f t="shared" ca="1" si="13"/>
        <v>Expense 7</v>
      </c>
      <c r="Z33" s="72">
        <f t="shared" ca="1" si="14"/>
        <v>0</v>
      </c>
      <c r="AA33" s="72">
        <f t="shared" ca="1" si="15"/>
        <v>0</v>
      </c>
      <c r="AB33" s="70" t="str">
        <f t="shared" ca="1" si="16"/>
        <v>-</v>
      </c>
      <c r="AC33" s="72">
        <f t="shared" ca="1" si="17"/>
        <v>0</v>
      </c>
      <c r="AD33" s="72">
        <f t="shared" ca="1" si="18"/>
        <v>0</v>
      </c>
      <c r="AF33" s="30"/>
      <c r="AI33" s="87" t="str">
        <f ca="1">Calculations!I39</f>
        <v/>
      </c>
      <c r="AJ33" s="88" t="str">
        <f ca="1">Calculations!J39</f>
        <v/>
      </c>
      <c r="AK33" s="31"/>
      <c r="AM33" s="30"/>
      <c r="AP33" s="87" t="str">
        <f>Calculations!M39</f>
        <v/>
      </c>
      <c r="AQ33" s="88" t="str">
        <f>Calculations!N39</f>
        <v/>
      </c>
      <c r="AR33" s="31"/>
    </row>
    <row r="34" spans="3:44" x14ac:dyDescent="0.2">
      <c r="C34" s="30" cm="1">
        <f t="array" ref="C34">IF(C33=-1,-1,
IF(C33&lt;income_max_row,C33+1,
IF(C33=income_max_row,income_total_row,
IF(C33=income_total_row,"/1",
IF(C33="/1",expenses_header_row,
IF(C33&lt;expenses_max_row,C33+1,
IF(C33=expenses_max_row,expenses_total_row,
IF(C33=expenses_total_row,"/2",
IF(C33="/2",savings_header_row,
IF(C33&lt;savings_max_row,C33+1,
IF(C33=savings_max_row,savings_total_row,-1)))))))))))</f>
        <v>38</v>
      </c>
      <c r="D34">
        <f t="shared" si="0"/>
        <v>21</v>
      </c>
      <c r="E34" s="30" cm="1">
        <f t="array" ref="E34">1*OR(row_id=income_header_row,row_id=expenses_header_row,row_id=savings_header_row)</f>
        <v>0</v>
      </c>
      <c r="F34">
        <f t="shared" si="1"/>
        <v>1</v>
      </c>
      <c r="G34" cm="1">
        <f t="array" ref="G34">1*OR(row_id=income_total_row,row_id=expenses_total_row,row_id=savings_total_row)</f>
        <v>0</v>
      </c>
      <c r="H34">
        <f t="shared" si="2"/>
        <v>0</v>
      </c>
      <c r="I34" s="30" t="str" cm="1">
        <f t="array" ref="I34">IFERROR(INDEX('Budget Planning'!$C:$C,header_row_id),"")</f>
        <v>Expenses</v>
      </c>
      <c r="J34" t="str" cm="1">
        <f t="array" ref="J34">IFERROR(INDEX('Budget Planning'!$C:$C,row_id),"")</f>
        <v>Expense 8</v>
      </c>
      <c r="K34" s="61" cm="1">
        <f t="array" ref="K34">IF(OR(is_header,is_empty),"",
   IF(is_total,
     IF(selected_period="Total Year",
    SUM(Tracking[Amount]*(Tracking[Type]=type)*(YEAR(Tracking[Effective Date])=selected_year)),
    SUM(Tracking[Amount]*(Tracking[Type]=type)*(YEAR(Tracking[Effective Date])=selected_year)*(MONTH(Tracking[Effective Date])=selected_period))),
   IF(selected_period="Total Year",
    SUM(Tracking[Amount]*(Tracking[Type]=type)*(Tracking[Category]=item)*(YEAR(Tracking[Effective Date])=selected_year)),
    SUM(Tracking[Amount]*(Tracking[Type]=type)*(Tracking[Category]=item)*(YEAR(Tracking[Effective Date])=selected_year)*(MONTH(Tracking[Effective Date])=selected_period)))
 )
)</f>
        <v>0</v>
      </c>
      <c r="L34" s="62" cm="1">
        <f t="array" ref="L34">IF(OR(is_header,is_empty),"",
   INDEX('Budget Planning'!$E:$BU,row_id,
        MATCH(IF(selected_period="Total Year",selected_year,DATE(selected_year,selected_period,1)),'Budget Planning'!$E$9:$BU$9,0)))</f>
        <v>0</v>
      </c>
      <c r="M34" s="30" cm="1">
        <f t="array" ref="M34">IF(is_cat,
   IF(header_row_id=income_header_row,MATCH(income_min_row,$C:$C,0),
   IF(header_row_id=expenses_header_row,MATCH(expenses_min_row,$C:$C,0),
   IF(header_row_id=savings_header_row,MATCH(savings_min_row,$C:$C,0),""))),"")</f>
        <v>18</v>
      </c>
      <c r="N34" s="31" cm="1">
        <f t="array" ref="N34">IF(is_cat,
   IF(header_row_id=income_header_row,MATCH(income_max_row,$C:$C,0),
   IF(header_row_id=expenses_header_row,MATCH(expenses_max_row,$C:$C,0),
   IF(header_row_id=savings_header_row,MATCH(savings_max_row,$C:$C,0),""))),"")</f>
        <v>35</v>
      </c>
      <c r="O34" s="65" t="str">
        <f t="shared" si="3"/>
        <v>$K$18:$K$35</v>
      </c>
      <c r="P34" s="64">
        <f t="shared" ca="1" si="4"/>
        <v>1</v>
      </c>
      <c r="Q34" s="64" t="str">
        <f t="shared" si="5"/>
        <v>$L$18:$L$35</v>
      </c>
      <c r="R34" s="66">
        <f t="shared" ca="1" si="6"/>
        <v>1</v>
      </c>
      <c r="S34" s="64">
        <f t="shared" ca="1" si="7"/>
        <v>11</v>
      </c>
      <c r="T34" s="64" t="str">
        <f t="shared" si="8"/>
        <v>$S$18:$S$35</v>
      </c>
      <c r="U34" s="64">
        <f t="shared" ca="1" si="9"/>
        <v>1</v>
      </c>
      <c r="V34" s="64" t="str">
        <f t="shared" si="10"/>
        <v>$U$18:$U$34</v>
      </c>
      <c r="W34" s="66">
        <f t="shared" ca="1" si="11"/>
        <v>17</v>
      </c>
      <c r="X34" s="68">
        <f t="shared" ca="1" si="12"/>
        <v>38</v>
      </c>
      <c r="Y34" s="71" t="str">
        <f t="shared" ca="1" si="13"/>
        <v>Expense 8</v>
      </c>
      <c r="Z34" s="72">
        <f t="shared" ca="1" si="14"/>
        <v>0</v>
      </c>
      <c r="AA34" s="72">
        <f t="shared" ca="1" si="15"/>
        <v>0</v>
      </c>
      <c r="AB34" s="70" t="str">
        <f t="shared" ca="1" si="16"/>
        <v>-</v>
      </c>
      <c r="AC34" s="72">
        <f t="shared" ca="1" si="17"/>
        <v>0</v>
      </c>
      <c r="AD34" s="72">
        <f t="shared" ca="1" si="18"/>
        <v>0</v>
      </c>
      <c r="AF34" s="30"/>
      <c r="AI34" s="87" t="str">
        <f ca="1">Calculations!I40</f>
        <v/>
      </c>
      <c r="AJ34" s="88" t="str">
        <f ca="1">Calculations!J40</f>
        <v/>
      </c>
      <c r="AK34" s="31"/>
      <c r="AM34" s="30"/>
      <c r="AP34" s="87" t="str">
        <f ca="1">Calculations!M40</f>
        <v/>
      </c>
      <c r="AQ34" s="88" t="str">
        <f ca="1">Calculations!N40</f>
        <v/>
      </c>
      <c r="AR34" s="31"/>
    </row>
    <row r="35" spans="3:44" x14ac:dyDescent="0.2">
      <c r="C35" s="30" cm="1">
        <f t="array" ref="C35">IF(C34=-1,-1,
IF(C34&lt;income_max_row,C34+1,
IF(C34=income_max_row,income_total_row,
IF(C34=income_total_row,"/1",
IF(C34="/1",expenses_header_row,
IF(C34&lt;expenses_max_row,C34+1,
IF(C34=expenses_max_row,expenses_total_row,
IF(C34=expenses_total_row,"/2",
IF(C34="/2",savings_header_row,
IF(C34&lt;savings_max_row,C34+1,
IF(C34=savings_max_row,savings_total_row,-1)))))))))))</f>
        <v>39</v>
      </c>
      <c r="D35">
        <f t="shared" si="0"/>
        <v>21</v>
      </c>
      <c r="E35" s="30" cm="1">
        <f t="array" ref="E35">1*OR(row_id=income_header_row,row_id=expenses_header_row,row_id=savings_header_row)</f>
        <v>0</v>
      </c>
      <c r="F35">
        <f t="shared" si="1"/>
        <v>1</v>
      </c>
      <c r="G35" cm="1">
        <f t="array" ref="G35">1*OR(row_id=income_total_row,row_id=expenses_total_row,row_id=savings_total_row)</f>
        <v>0</v>
      </c>
      <c r="H35">
        <f t="shared" si="2"/>
        <v>0</v>
      </c>
      <c r="I35" s="30" t="str" cm="1">
        <f t="array" ref="I35">IFERROR(INDEX('Budget Planning'!$C:$C,header_row_id),"")</f>
        <v>Expenses</v>
      </c>
      <c r="J35" t="str" cm="1">
        <f t="array" ref="J35">IFERROR(INDEX('Budget Planning'!$C:$C,row_id),"")</f>
        <v>Expense 9</v>
      </c>
      <c r="K35" s="61" cm="1">
        <f t="array" ref="K35">IF(OR(is_header,is_empty),"",
   IF(is_total,
     IF(selected_period="Total Year",
    SUM(Tracking[Amount]*(Tracking[Type]=type)*(YEAR(Tracking[Effective Date])=selected_year)),
    SUM(Tracking[Amount]*(Tracking[Type]=type)*(YEAR(Tracking[Effective Date])=selected_year)*(MONTH(Tracking[Effective Date])=selected_period))),
   IF(selected_period="Total Year",
    SUM(Tracking[Amount]*(Tracking[Type]=type)*(Tracking[Category]=item)*(YEAR(Tracking[Effective Date])=selected_year)),
    SUM(Tracking[Amount]*(Tracking[Type]=type)*(Tracking[Category]=item)*(YEAR(Tracking[Effective Date])=selected_year)*(MONTH(Tracking[Effective Date])=selected_period)))
 )
)</f>
        <v>0</v>
      </c>
      <c r="L35" s="62" cm="1">
        <f t="array" ref="L35">IF(OR(is_header,is_empty),"",
   INDEX('Budget Planning'!$E:$BU,row_id,
        MATCH(IF(selected_period="Total Year",selected_year,DATE(selected_year,selected_period,1)),'Budget Planning'!$E$9:$BU$9,0)))</f>
        <v>0</v>
      </c>
      <c r="M35" s="30" cm="1">
        <f t="array" ref="M35">IF(is_cat,
   IF(header_row_id=income_header_row,MATCH(income_min_row,$C:$C,0),
   IF(header_row_id=expenses_header_row,MATCH(expenses_min_row,$C:$C,0),
   IF(header_row_id=savings_header_row,MATCH(savings_min_row,$C:$C,0),""))),"")</f>
        <v>18</v>
      </c>
      <c r="N35" s="31" cm="1">
        <f t="array" ref="N35">IF(is_cat,
   IF(header_row_id=income_header_row,MATCH(income_max_row,$C:$C,0),
   IF(header_row_id=expenses_header_row,MATCH(expenses_max_row,$C:$C,0),
   IF(header_row_id=savings_header_row,MATCH(savings_max_row,$C:$C,0),""))),"")</f>
        <v>35</v>
      </c>
      <c r="O35" s="65" t="str">
        <f t="shared" si="3"/>
        <v>$K$18:$K$35</v>
      </c>
      <c r="P35" s="64">
        <f t="shared" ca="1" si="4"/>
        <v>1</v>
      </c>
      <c r="Q35" s="64" t="str">
        <f t="shared" si="5"/>
        <v>$L$18:$L$35</v>
      </c>
      <c r="R35" s="66">
        <f t="shared" ca="1" si="6"/>
        <v>1</v>
      </c>
      <c r="S35" s="64">
        <f t="shared" ca="1" si="7"/>
        <v>11</v>
      </c>
      <c r="T35" s="64" t="str">
        <f t="shared" si="8"/>
        <v>$S$18:$S$35</v>
      </c>
      <c r="U35" s="64">
        <f t="shared" ca="1" si="9"/>
        <v>1</v>
      </c>
      <c r="V35" s="64" t="str">
        <f t="shared" si="10"/>
        <v>$U$18:$U$35</v>
      </c>
      <c r="W35" s="66">
        <f t="shared" ca="1" si="11"/>
        <v>18</v>
      </c>
      <c r="X35" s="68">
        <f t="shared" ca="1" si="12"/>
        <v>39</v>
      </c>
      <c r="Y35" s="71" t="str">
        <f t="shared" ca="1" si="13"/>
        <v>Expense 9</v>
      </c>
      <c r="Z35" s="72">
        <f t="shared" ca="1" si="14"/>
        <v>0</v>
      </c>
      <c r="AA35" s="72">
        <f t="shared" ca="1" si="15"/>
        <v>0</v>
      </c>
      <c r="AB35" s="70" t="str">
        <f t="shared" ca="1" si="16"/>
        <v>-</v>
      </c>
      <c r="AC35" s="72">
        <f t="shared" ca="1" si="17"/>
        <v>0</v>
      </c>
      <c r="AD35" s="72">
        <f t="shared" ca="1" si="18"/>
        <v>0</v>
      </c>
      <c r="AF35" s="30"/>
      <c r="AI35" s="89" t="str">
        <f>Calculations!I41</f>
        <v>Total</v>
      </c>
      <c r="AJ35" s="90">
        <f ca="1">Calculations!J41</f>
        <v>0</v>
      </c>
      <c r="AK35" s="31"/>
      <c r="AM35" s="30"/>
      <c r="AP35" s="89" t="str">
        <f>Calculations!M41</f>
        <v>Total</v>
      </c>
      <c r="AQ35" s="90">
        <f ca="1">Calculations!N41</f>
        <v>0</v>
      </c>
      <c r="AR35" s="31"/>
    </row>
    <row r="36" spans="3:44" x14ac:dyDescent="0.2">
      <c r="C36" s="30" cm="1">
        <f t="array" ref="C36">IF(C35=-1,-1,
IF(C35&lt;income_max_row,C35+1,
IF(C35=income_max_row,income_total_row,
IF(C35=income_total_row,"/1",
IF(C35="/1",expenses_header_row,
IF(C35&lt;expenses_max_row,C35+1,
IF(C35=expenses_max_row,expenses_total_row,
IF(C35=expenses_total_row,"/2",
IF(C35="/2",savings_header_row,
IF(C35&lt;savings_max_row,C35+1,
IF(C35=savings_max_row,savings_total_row,-1)))))))))))</f>
        <v>40</v>
      </c>
      <c r="D36">
        <f t="shared" si="0"/>
        <v>21</v>
      </c>
      <c r="E36" s="30" cm="1">
        <f t="array" ref="E36">1*OR(row_id=income_header_row,row_id=expenses_header_row,row_id=savings_header_row)</f>
        <v>0</v>
      </c>
      <c r="F36">
        <f t="shared" si="1"/>
        <v>0</v>
      </c>
      <c r="G36" cm="1">
        <f t="array" ref="G36">1*OR(row_id=income_total_row,row_id=expenses_total_row,row_id=savings_total_row)</f>
        <v>1</v>
      </c>
      <c r="H36">
        <f t="shared" si="2"/>
        <v>0</v>
      </c>
      <c r="I36" s="30" t="str" cm="1">
        <f t="array" ref="I36">IFERROR(INDEX('Budget Planning'!$C:$C,header_row_id),"")</f>
        <v>Expenses</v>
      </c>
      <c r="J36" t="str" cm="1">
        <f t="array" ref="J36">IFERROR(INDEX('Budget Planning'!$C:$C,row_id),"")</f>
        <v>Total</v>
      </c>
      <c r="K36" s="61" cm="1">
        <f t="array" ref="K36">IF(OR(is_header,is_empty),"",
   IF(is_total,
     IF(selected_period="Total Year",
    SUM(Tracking[Amount]*(Tracking[Type]=type)*(YEAR(Tracking[Effective Date])=selected_year)),
    SUM(Tracking[Amount]*(Tracking[Type]=type)*(YEAR(Tracking[Effective Date])=selected_year)*(MONTH(Tracking[Effective Date])=selected_period))),
   IF(selected_period="Total Year",
    SUM(Tracking[Amount]*(Tracking[Type]=type)*(Tracking[Category]=item)*(YEAR(Tracking[Effective Date])=selected_year)),
    SUM(Tracking[Amount]*(Tracking[Type]=type)*(Tracking[Category]=item)*(YEAR(Tracking[Effective Date])=selected_year)*(MONTH(Tracking[Effective Date])=selected_period)))
 )
)</f>
        <v>0</v>
      </c>
      <c r="L36" s="62" cm="1">
        <f t="array" aca="1" ref="L36" ca="1">IF(OR(is_header,is_empty),"",
   INDEX('Budget Planning'!$E:$BU,row_id,
        MATCH(IF(selected_period="Total Year",selected_year,DATE(selected_year,selected_period,1)),'Budget Planning'!$E$9:$BU$9,0)))</f>
        <v>0</v>
      </c>
      <c r="M36" s="30" t="str" cm="1">
        <f t="array" ref="M36">IF(is_cat,
   IF(header_row_id=income_header_row,MATCH(income_min_row,$C:$C,0),
   IF(header_row_id=expenses_header_row,MATCH(expenses_min_row,$C:$C,0),
   IF(header_row_id=savings_header_row,MATCH(savings_min_row,$C:$C,0),""))),"")</f>
        <v/>
      </c>
      <c r="N36" s="31" t="str" cm="1">
        <f t="array" ref="N36">IF(is_cat,
   IF(header_row_id=income_header_row,MATCH(income_max_row,$C:$C,0),
   IF(header_row_id=expenses_header_row,MATCH(expenses_max_row,$C:$C,0),
   IF(header_row_id=savings_header_row,MATCH(savings_max_row,$C:$C,0),""))),"")</f>
        <v/>
      </c>
      <c r="O36" s="65" t="str">
        <f t="shared" si="3"/>
        <v/>
      </c>
      <c r="P36" s="64" t="str">
        <f t="shared" ca="1" si="4"/>
        <v/>
      </c>
      <c r="Q36" s="64" t="str">
        <f t="shared" si="5"/>
        <v/>
      </c>
      <c r="R36" s="66" t="str">
        <f t="shared" ca="1" si="6"/>
        <v/>
      </c>
      <c r="S36" s="64" t="str">
        <f t="shared" si="7"/>
        <v/>
      </c>
      <c r="T36" s="64" t="str">
        <f t="shared" si="8"/>
        <v/>
      </c>
      <c r="U36" s="64" t="str">
        <f t="shared" ca="1" si="9"/>
        <v/>
      </c>
      <c r="V36" s="64" t="str">
        <f t="shared" si="10"/>
        <v/>
      </c>
      <c r="W36" s="66" t="str">
        <f t="shared" ca="1" si="11"/>
        <v/>
      </c>
      <c r="X36" s="68">
        <f t="shared" si="12"/>
        <v>40</v>
      </c>
      <c r="Y36" s="71" t="str">
        <f t="shared" ca="1" si="13"/>
        <v>Total</v>
      </c>
      <c r="Z36" s="72">
        <f t="shared" ca="1" si="14"/>
        <v>0</v>
      </c>
      <c r="AA36" s="72">
        <f t="shared" ca="1" si="15"/>
        <v>0</v>
      </c>
      <c r="AB36" s="70" t="str">
        <f t="shared" ca="1" si="16"/>
        <v>-</v>
      </c>
      <c r="AC36" s="72">
        <f t="shared" ca="1" si="17"/>
        <v>0</v>
      </c>
      <c r="AD36" s="72">
        <f t="shared" ca="1" si="18"/>
        <v>0</v>
      </c>
      <c r="AF36" s="30"/>
      <c r="AK36" s="31"/>
      <c r="AM36" s="30"/>
      <c r="AR36" s="31"/>
    </row>
    <row r="37" spans="3:44" x14ac:dyDescent="0.2">
      <c r="C37" s="30" t="str" cm="1">
        <f t="array" ref="C37">IF(C36=-1,-1,
IF(C36&lt;income_max_row,C36+1,
IF(C36=income_max_row,income_total_row,
IF(C36=income_total_row,"/1",
IF(C36="/1",expenses_header_row,
IF(C36&lt;expenses_max_row,C36+1,
IF(C36=expenses_max_row,expenses_total_row,
IF(C36=expenses_total_row,"/2",
IF(C36="/2",savings_header_row,
IF(C36&lt;savings_max_row,C36+1,
IF(C36=savings_max_row,savings_total_row,-1)))))))))))</f>
        <v>/2</v>
      </c>
      <c r="D37">
        <f t="shared" si="0"/>
        <v>-1</v>
      </c>
      <c r="E37" s="30" cm="1">
        <f t="array" ref="E37">1*OR(row_id=income_header_row,row_id=expenses_header_row,row_id=savings_header_row)</f>
        <v>0</v>
      </c>
      <c r="F37">
        <f t="shared" si="1"/>
        <v>0</v>
      </c>
      <c r="G37" cm="1">
        <f t="array" ref="G37">1*OR(row_id=income_total_row,row_id=expenses_total_row,row_id=savings_total_row)</f>
        <v>0</v>
      </c>
      <c r="H37">
        <f t="shared" si="2"/>
        <v>1</v>
      </c>
      <c r="I37" s="30" t="str" cm="1">
        <f t="array" ref="I37">IFERROR(INDEX('Budget Planning'!$C:$C,header_row_id),"")</f>
        <v/>
      </c>
      <c r="J37" t="str" cm="1">
        <f t="array" ref="J37">IFERROR(INDEX('Budget Planning'!$C:$C,row_id),"")</f>
        <v/>
      </c>
      <c r="K37" s="61" t="str" cm="1">
        <f t="array" ref="K37">IF(OR(is_header,is_empty),"",
   IF(is_total,
     IF(selected_period="Total Year",
    SUM(Tracking[Amount]*(Tracking[Type]=type)*(YEAR(Tracking[Effective Date])=selected_year)),
    SUM(Tracking[Amount]*(Tracking[Type]=type)*(YEAR(Tracking[Effective Date])=selected_year)*(MONTH(Tracking[Effective Date])=selected_period))),
   IF(selected_period="Total Year",
    SUM(Tracking[Amount]*(Tracking[Type]=type)*(Tracking[Category]=item)*(YEAR(Tracking[Effective Date])=selected_year)),
    SUM(Tracking[Amount]*(Tracking[Type]=type)*(Tracking[Category]=item)*(YEAR(Tracking[Effective Date])=selected_year)*(MONTH(Tracking[Effective Date])=selected_period)))
 )
)</f>
        <v/>
      </c>
      <c r="L37" s="62" t="str" cm="1">
        <f t="array" ref="L37">IF(OR(is_header,is_empty),"",
   INDEX('Budget Planning'!$E:$BU,row_id,
        MATCH(IF(selected_period="Total Year",selected_year,DATE(selected_year,selected_period,1)),'Budget Planning'!$E$9:$BU$9,0)))</f>
        <v/>
      </c>
      <c r="M37" s="30" t="str" cm="1">
        <f t="array" ref="M37">IF(is_cat,
   IF(header_row_id=income_header_row,MATCH(income_min_row,$C:$C,0),
   IF(header_row_id=expenses_header_row,MATCH(expenses_min_row,$C:$C,0),
   IF(header_row_id=savings_header_row,MATCH(savings_min_row,$C:$C,0),""))),"")</f>
        <v/>
      </c>
      <c r="N37" s="31" t="str" cm="1">
        <f t="array" ref="N37">IF(is_cat,
   IF(header_row_id=income_header_row,MATCH(income_max_row,$C:$C,0),
   IF(header_row_id=expenses_header_row,MATCH(expenses_max_row,$C:$C,0),
   IF(header_row_id=savings_header_row,MATCH(savings_max_row,$C:$C,0),""))),"")</f>
        <v/>
      </c>
      <c r="O37" s="65" t="str">
        <f t="shared" si="3"/>
        <v/>
      </c>
      <c r="P37" s="64" t="str">
        <f t="shared" ca="1" si="4"/>
        <v/>
      </c>
      <c r="Q37" s="64" t="str">
        <f t="shared" si="5"/>
        <v/>
      </c>
      <c r="R37" s="66" t="str">
        <f t="shared" ca="1" si="6"/>
        <v/>
      </c>
      <c r="S37" s="64" t="str">
        <f t="shared" si="7"/>
        <v/>
      </c>
      <c r="T37" s="64" t="str">
        <f t="shared" si="8"/>
        <v/>
      </c>
      <c r="U37" s="64" t="str">
        <f t="shared" ca="1" si="9"/>
        <v/>
      </c>
      <c r="V37" s="64" t="str">
        <f t="shared" si="10"/>
        <v/>
      </c>
      <c r="W37" s="66" t="str">
        <f t="shared" ca="1" si="11"/>
        <v/>
      </c>
      <c r="X37" s="68" t="str">
        <f t="shared" si="12"/>
        <v>/2</v>
      </c>
      <c r="Y37" s="71" t="str">
        <f t="shared" si="13"/>
        <v/>
      </c>
      <c r="Z37" s="72" t="str">
        <f t="shared" si="14"/>
        <v/>
      </c>
      <c r="AA37" s="72" t="str">
        <f t="shared" si="15"/>
        <v/>
      </c>
      <c r="AB37" s="70" t="str">
        <f t="shared" si="16"/>
        <v/>
      </c>
      <c r="AC37" s="72" t="str">
        <f t="shared" si="17"/>
        <v/>
      </c>
      <c r="AD37" s="72" t="str">
        <f t="shared" si="18"/>
        <v/>
      </c>
      <c r="AF37" s="32"/>
      <c r="AG37" s="33"/>
      <c r="AH37" s="33"/>
      <c r="AI37" s="33"/>
      <c r="AJ37" s="33"/>
      <c r="AK37" s="34"/>
      <c r="AM37" s="32"/>
      <c r="AN37" s="33"/>
      <c r="AO37" s="33"/>
      <c r="AP37" s="33"/>
      <c r="AQ37" s="33"/>
      <c r="AR37" s="34"/>
    </row>
    <row r="38" spans="3:44" x14ac:dyDescent="0.2">
      <c r="C38" s="30" cm="1">
        <f t="array" ref="C38">IF(C37=-1,-1,
IF(C37&lt;income_max_row,C37+1,
IF(C37=income_max_row,income_total_row,
IF(C37=income_total_row,"/1",
IF(C37="/1",expenses_header_row,
IF(C37&lt;expenses_max_row,C37+1,
IF(C37=expenses_max_row,expenses_total_row,
IF(C37=expenses_total_row,"/2",
IF(C37="/2",savings_header_row,
IF(C37&lt;savings_max_row,C37+1,
IF(C37=savings_max_row,savings_total_row,-1)))))))))))</f>
        <v>42</v>
      </c>
      <c r="D38">
        <f t="shared" si="0"/>
        <v>42</v>
      </c>
      <c r="E38" s="30" cm="1">
        <f t="array" ref="E38">1*OR(row_id=income_header_row,row_id=expenses_header_row,row_id=savings_header_row)</f>
        <v>1</v>
      </c>
      <c r="F38">
        <f t="shared" si="1"/>
        <v>0</v>
      </c>
      <c r="G38" cm="1">
        <f t="array" ref="G38">1*OR(row_id=income_total_row,row_id=expenses_total_row,row_id=savings_total_row)</f>
        <v>0</v>
      </c>
      <c r="H38">
        <f t="shared" si="2"/>
        <v>0</v>
      </c>
      <c r="I38" s="30" t="str" cm="1">
        <f t="array" ref="I38">IFERROR(INDEX('Budget Planning'!$C:$C,header_row_id),"")</f>
        <v>Savings</v>
      </c>
      <c r="J38" t="str" cm="1">
        <f t="array" ref="J38">IFERROR(INDEX('Budget Planning'!$C:$C,row_id),"")</f>
        <v>Savings</v>
      </c>
      <c r="K38" s="61" t="str" cm="1">
        <f t="array" ref="K38">IF(OR(is_header,is_empty),"",
   IF(is_total,
     IF(selected_period="Total Year",
    SUM(Tracking[Amount]*(Tracking[Type]=type)*(YEAR(Tracking[Effective Date])=selected_year)),
    SUM(Tracking[Amount]*(Tracking[Type]=type)*(YEAR(Tracking[Effective Date])=selected_year)*(MONTH(Tracking[Effective Date])=selected_period))),
   IF(selected_period="Total Year",
    SUM(Tracking[Amount]*(Tracking[Type]=type)*(Tracking[Category]=item)*(YEAR(Tracking[Effective Date])=selected_year)),
    SUM(Tracking[Amount]*(Tracking[Type]=type)*(Tracking[Category]=item)*(YEAR(Tracking[Effective Date])=selected_year)*(MONTH(Tracking[Effective Date])=selected_period)))
 )
)</f>
        <v/>
      </c>
      <c r="L38" s="62" t="str" cm="1">
        <f t="array" ref="L38">IF(OR(is_header,is_empty),"",
   INDEX('Budget Planning'!$E:$BU,row_id,
        MATCH(IF(selected_period="Total Year",selected_year,DATE(selected_year,selected_period,1)),'Budget Planning'!$E$9:$BU$9,0)))</f>
        <v/>
      </c>
      <c r="M38" s="30" t="str" cm="1">
        <f t="array" ref="M38">IF(is_cat,
   IF(header_row_id=income_header_row,MATCH(income_min_row,$C:$C,0),
   IF(header_row_id=expenses_header_row,MATCH(expenses_min_row,$C:$C,0),
   IF(header_row_id=savings_header_row,MATCH(savings_min_row,$C:$C,0),""))),"")</f>
        <v/>
      </c>
      <c r="N38" s="31" t="str" cm="1">
        <f t="array" ref="N38">IF(is_cat,
   IF(header_row_id=income_header_row,MATCH(income_max_row,$C:$C,0),
   IF(header_row_id=expenses_header_row,MATCH(expenses_max_row,$C:$C,0),
   IF(header_row_id=savings_header_row,MATCH(savings_max_row,$C:$C,0),""))),"")</f>
        <v/>
      </c>
      <c r="O38" s="65" t="str">
        <f t="shared" si="3"/>
        <v/>
      </c>
      <c r="P38" s="64" t="str">
        <f t="shared" ca="1" si="4"/>
        <v/>
      </c>
      <c r="Q38" s="64" t="str">
        <f t="shared" si="5"/>
        <v/>
      </c>
      <c r="R38" s="66" t="str">
        <f t="shared" ca="1" si="6"/>
        <v/>
      </c>
      <c r="S38" s="64" t="str">
        <f t="shared" si="7"/>
        <v/>
      </c>
      <c r="T38" s="64" t="str">
        <f t="shared" si="8"/>
        <v/>
      </c>
      <c r="U38" s="64" t="str">
        <f t="shared" ca="1" si="9"/>
        <v/>
      </c>
      <c r="V38" s="64" t="str">
        <f t="shared" si="10"/>
        <v/>
      </c>
      <c r="W38" s="66" t="str">
        <f t="shared" ca="1" si="11"/>
        <v/>
      </c>
      <c r="X38" s="68">
        <f t="shared" si="12"/>
        <v>42</v>
      </c>
      <c r="Y38" s="71" t="str">
        <f t="shared" ca="1" si="13"/>
        <v>Savings</v>
      </c>
      <c r="Z38" s="72" t="str">
        <f t="shared" si="14"/>
        <v>Tracked</v>
      </c>
      <c r="AA38" s="72" t="str">
        <f t="shared" si="15"/>
        <v>Budget</v>
      </c>
      <c r="AB38" s="70" t="str">
        <f t="shared" si="16"/>
        <v>% Compl.</v>
      </c>
      <c r="AC38" s="72" t="str">
        <f t="shared" si="17"/>
        <v>Remaining</v>
      </c>
      <c r="AD38" s="72" t="str">
        <f t="shared" si="18"/>
        <v>Excess</v>
      </c>
    </row>
    <row r="39" spans="3:44" x14ac:dyDescent="0.2">
      <c r="C39" s="30" cm="1">
        <f t="array" ref="C39">IF(C38=-1,-1,
IF(C38&lt;income_max_row,C38+1,
IF(C38=income_max_row,income_total_row,
IF(C38=income_total_row,"/1",
IF(C38="/1",expenses_header_row,
IF(C38&lt;expenses_max_row,C38+1,
IF(C38=expenses_max_row,expenses_total_row,
IF(C38=expenses_total_row,"/2",
IF(C38="/2",savings_header_row,
IF(C38&lt;savings_max_row,C38+1,
IF(C38=savings_max_row,savings_total_row,-1)))))))))))</f>
        <v>43</v>
      </c>
      <c r="D39">
        <f t="shared" si="0"/>
        <v>42</v>
      </c>
      <c r="E39" s="30" cm="1">
        <f t="array" ref="E39">1*OR(row_id=income_header_row,row_id=expenses_header_row,row_id=savings_header_row)</f>
        <v>0</v>
      </c>
      <c r="F39">
        <f t="shared" si="1"/>
        <v>1</v>
      </c>
      <c r="G39" cm="1">
        <f t="array" ref="G39">1*OR(row_id=income_total_row,row_id=expenses_total_row,row_id=savings_total_row)</f>
        <v>0</v>
      </c>
      <c r="H39">
        <f t="shared" si="2"/>
        <v>0</v>
      </c>
      <c r="I39" s="30" t="str" cm="1">
        <f t="array" ref="I39">IFERROR(INDEX('Budget Planning'!$C:$C,header_row_id),"")</f>
        <v>Savings</v>
      </c>
      <c r="J39" t="str" cm="1">
        <f t="array" ref="J39">IFERROR(INDEX('Budget Planning'!$C:$C,row_id),"")</f>
        <v>Statutory Reserve*</v>
      </c>
      <c r="K39" s="61" cm="1">
        <f t="array" ref="K39">IF(OR(is_header,is_empty),"",
   IF(is_total,
     IF(selected_period="Total Year",
    SUM(Tracking[Amount]*(Tracking[Type]=type)*(YEAR(Tracking[Effective Date])=selected_year)),
    SUM(Tracking[Amount]*(Tracking[Type]=type)*(YEAR(Tracking[Effective Date])=selected_year)*(MONTH(Tracking[Effective Date])=selected_period))),
   IF(selected_period="Total Year",
    SUM(Tracking[Amount]*(Tracking[Type]=type)*(Tracking[Category]=item)*(YEAR(Tracking[Effective Date])=selected_year)),
    SUM(Tracking[Amount]*(Tracking[Type]=type)*(Tracking[Category]=item)*(YEAR(Tracking[Effective Date])=selected_year)*(MONTH(Tracking[Effective Date])=selected_period)))
 )
)</f>
        <v>0</v>
      </c>
      <c r="L39" s="62" cm="1">
        <f t="array" ref="L39">IF(OR(is_header,is_empty),"",
   INDEX('Budget Planning'!$E:$BU,row_id,
        MATCH(IF(selected_period="Total Year",selected_year,DATE(selected_year,selected_period,1)),'Budget Planning'!$E$9:$BU$9,0)))</f>
        <v>0</v>
      </c>
      <c r="M39" s="30" cm="1">
        <f t="array" ref="M39">IF(is_cat,
   IF(header_row_id=income_header_row,MATCH(income_min_row,$C:$C,0),
   IF(header_row_id=expenses_header_row,MATCH(expenses_min_row,$C:$C,0),
   IF(header_row_id=savings_header_row,MATCH(savings_min_row,$C:$C,0),""))),"")</f>
        <v>39</v>
      </c>
      <c r="N39" s="31" cm="1">
        <f t="array" ref="N39">IF(is_cat,
   IF(header_row_id=income_header_row,MATCH(income_max_row,$C:$C,0),
   IF(header_row_id=expenses_header_row,MATCH(expenses_max_row,$C:$C,0),
   IF(header_row_id=savings_header_row,MATCH(savings_max_row,$C:$C,0),""))),"")</f>
        <v>39</v>
      </c>
      <c r="O39" s="65" t="str">
        <f t="shared" si="3"/>
        <v>$K$39:$K$39</v>
      </c>
      <c r="P39" s="64">
        <f t="shared" ca="1" si="4"/>
        <v>1</v>
      </c>
      <c r="Q39" s="64" t="str">
        <f t="shared" si="5"/>
        <v>$L$39:$L$39</v>
      </c>
      <c r="R39" s="66">
        <f t="shared" ca="1" si="6"/>
        <v>1</v>
      </c>
      <c r="S39" s="64">
        <f t="shared" ca="1" si="7"/>
        <v>11</v>
      </c>
      <c r="T39" s="64" t="str">
        <f t="shared" si="8"/>
        <v>$S$39:$S$39</v>
      </c>
      <c r="U39" s="64">
        <f t="shared" ca="1" si="9"/>
        <v>1</v>
      </c>
      <c r="V39" s="64" t="str">
        <f t="shared" si="10"/>
        <v>$U$39:$U$39</v>
      </c>
      <c r="W39" s="66">
        <f t="shared" ca="1" si="11"/>
        <v>1</v>
      </c>
      <c r="X39" s="68">
        <f t="shared" ca="1" si="12"/>
        <v>43</v>
      </c>
      <c r="Y39" s="71" t="str">
        <f t="shared" ca="1" si="13"/>
        <v>Statutory Reserve*</v>
      </c>
      <c r="Z39" s="72">
        <f t="shared" ca="1" si="14"/>
        <v>0</v>
      </c>
      <c r="AA39" s="72">
        <f t="shared" ca="1" si="15"/>
        <v>0</v>
      </c>
      <c r="AB39" s="70" t="str">
        <f t="shared" ca="1" si="16"/>
        <v>-</v>
      </c>
      <c r="AC39" s="72">
        <f t="shared" ca="1" si="17"/>
        <v>0</v>
      </c>
      <c r="AD39" s="72">
        <f t="shared" ca="1" si="18"/>
        <v>0</v>
      </c>
    </row>
    <row r="40" spans="3:44" x14ac:dyDescent="0.2">
      <c r="C40" s="30" cm="1">
        <f t="array" ref="C40">IF(C39=-1,-1,
IF(C39&lt;income_max_row,C39+1,
IF(C39=income_max_row,income_total_row,
IF(C39=income_total_row,"/1",
IF(C39="/1",expenses_header_row,
IF(C39&lt;expenses_max_row,C39+1,
IF(C39=expenses_max_row,expenses_total_row,
IF(C39=expenses_total_row,"/2",
IF(C39="/2",savings_header_row,
IF(C39&lt;savings_max_row,C39+1,
IF(C39=savings_max_row,savings_total_row,-1)))))))))))</f>
        <v>47</v>
      </c>
      <c r="D40">
        <f t="shared" si="0"/>
        <v>42</v>
      </c>
      <c r="E40" s="30" cm="1">
        <f t="array" ref="E40">1*OR(row_id=income_header_row,row_id=expenses_header_row,row_id=savings_header_row)</f>
        <v>0</v>
      </c>
      <c r="F40">
        <f t="shared" si="1"/>
        <v>0</v>
      </c>
      <c r="G40" cm="1">
        <f t="array" ref="G40">1*OR(row_id=income_total_row,row_id=expenses_total_row,row_id=savings_total_row)</f>
        <v>1</v>
      </c>
      <c r="H40">
        <f t="shared" si="2"/>
        <v>0</v>
      </c>
      <c r="I40" s="30" t="str" cm="1">
        <f t="array" ref="I40">IFERROR(INDEX('Budget Planning'!$C:$C,header_row_id),"")</f>
        <v>Savings</v>
      </c>
      <c r="J40" t="str" cm="1">
        <f t="array" ref="J40">IFERROR(INDEX('Budget Planning'!$C:$C,row_id),"")</f>
        <v>Total</v>
      </c>
      <c r="K40" s="61" cm="1">
        <f t="array" ref="K40">IF(OR(is_header,is_empty),"",
   IF(is_total,
     IF(selected_period="Total Year",
    SUM(Tracking[Amount]*(Tracking[Type]=type)*(YEAR(Tracking[Effective Date])=selected_year)),
    SUM(Tracking[Amount]*(Tracking[Type]=type)*(YEAR(Tracking[Effective Date])=selected_year)*(MONTH(Tracking[Effective Date])=selected_period))),
   IF(selected_period="Total Year",
    SUM(Tracking[Amount]*(Tracking[Type]=type)*(Tracking[Category]=item)*(YEAR(Tracking[Effective Date])=selected_year)),
    SUM(Tracking[Amount]*(Tracking[Type]=type)*(Tracking[Category]=item)*(YEAR(Tracking[Effective Date])=selected_year)*(MONTH(Tracking[Effective Date])=selected_period)))
 )
)</f>
        <v>0</v>
      </c>
      <c r="L40" s="62" cm="1">
        <f t="array" aca="1" ref="L40" ca="1">IF(OR(is_header,is_empty),"",
   INDEX('Budget Planning'!$E:$BU,row_id,
        MATCH(IF(selected_period="Total Year",selected_year,DATE(selected_year,selected_period,1)),'Budget Planning'!$E$9:$BU$9,0)))</f>
        <v>0</v>
      </c>
      <c r="M40" s="30" t="str" cm="1">
        <f t="array" ref="M40">IF(is_cat,
   IF(header_row_id=income_header_row,MATCH(income_min_row,$C:$C,0),
   IF(header_row_id=expenses_header_row,MATCH(expenses_min_row,$C:$C,0),
   IF(header_row_id=savings_header_row,MATCH(savings_min_row,$C:$C,0),""))),"")</f>
        <v/>
      </c>
      <c r="N40" s="31" t="str" cm="1">
        <f t="array" ref="N40">IF(is_cat,
   IF(header_row_id=income_header_row,MATCH(income_max_row,$C:$C,0),
   IF(header_row_id=expenses_header_row,MATCH(expenses_max_row,$C:$C,0),
   IF(header_row_id=savings_header_row,MATCH(savings_max_row,$C:$C,0),""))),"")</f>
        <v/>
      </c>
      <c r="O40" s="65" t="str">
        <f t="shared" si="3"/>
        <v/>
      </c>
      <c r="P40" s="64" t="str">
        <f t="shared" ca="1" si="4"/>
        <v/>
      </c>
      <c r="Q40" s="64" t="str">
        <f t="shared" si="5"/>
        <v/>
      </c>
      <c r="R40" s="66" t="str">
        <f t="shared" ca="1" si="6"/>
        <v/>
      </c>
      <c r="S40" s="64" t="str">
        <f t="shared" si="7"/>
        <v/>
      </c>
      <c r="T40" s="64" t="str">
        <f t="shared" si="8"/>
        <v/>
      </c>
      <c r="U40" s="64" t="str">
        <f t="shared" ca="1" si="9"/>
        <v/>
      </c>
      <c r="V40" s="64" t="str">
        <f t="shared" si="10"/>
        <v/>
      </c>
      <c r="W40" s="66" t="str">
        <f t="shared" ca="1" si="11"/>
        <v/>
      </c>
      <c r="X40" s="68">
        <f t="shared" si="12"/>
        <v>47</v>
      </c>
      <c r="Y40" s="71" t="str">
        <f t="shared" ca="1" si="13"/>
        <v>Total</v>
      </c>
      <c r="Z40" s="72">
        <f t="shared" ca="1" si="14"/>
        <v>0</v>
      </c>
      <c r="AA40" s="72">
        <f t="shared" ca="1" si="15"/>
        <v>0</v>
      </c>
      <c r="AB40" s="70" t="str">
        <f t="shared" ca="1" si="16"/>
        <v>-</v>
      </c>
      <c r="AC40" s="72">
        <f t="shared" ca="1" si="17"/>
        <v>0</v>
      </c>
      <c r="AD40" s="72">
        <f t="shared" ca="1" si="18"/>
        <v>0</v>
      </c>
    </row>
    <row r="41" spans="3:44" x14ac:dyDescent="0.2">
      <c r="C41" s="30" cm="1">
        <f t="array" ref="C41">IF(C40=-1,-1,
IF(C40&lt;income_max_row,C40+1,
IF(C40=income_max_row,income_total_row,
IF(C40=income_total_row,"/1",
IF(C40="/1",expenses_header_row,
IF(C40&lt;expenses_max_row,C40+1,
IF(C40=expenses_max_row,expenses_total_row,
IF(C40=expenses_total_row,"/2",
IF(C40="/2",savings_header_row,
IF(C40&lt;savings_max_row,C40+1,
IF(C40=savings_max_row,savings_total_row,-1)))))))))))</f>
        <v>-1</v>
      </c>
      <c r="D41">
        <f t="shared" si="0"/>
        <v>-1</v>
      </c>
      <c r="E41" s="30" cm="1">
        <f t="array" ref="E41">1*OR(row_id=income_header_row,row_id=expenses_header_row,row_id=savings_header_row)</f>
        <v>0</v>
      </c>
      <c r="F41">
        <f t="shared" si="1"/>
        <v>0</v>
      </c>
      <c r="G41" cm="1">
        <f t="array" ref="G41">1*OR(row_id=income_total_row,row_id=expenses_total_row,row_id=savings_total_row)</f>
        <v>0</v>
      </c>
      <c r="H41">
        <f t="shared" si="2"/>
        <v>1</v>
      </c>
      <c r="I41" s="30" t="str" cm="1">
        <f t="array" ref="I41">IFERROR(INDEX('Budget Planning'!$C:$C,header_row_id),"")</f>
        <v/>
      </c>
      <c r="J41" t="str" cm="1">
        <f t="array" ref="J41">IFERROR(INDEX('Budget Planning'!$C:$C,row_id),"")</f>
        <v/>
      </c>
      <c r="K41" s="61" t="str" cm="1">
        <f t="array" ref="K41">IF(OR(is_header,is_empty),"",
   IF(is_total,
     IF(selected_period="Total Year",
    SUM(Tracking[Amount]*(Tracking[Type]=type)*(YEAR(Tracking[Effective Date])=selected_year)),
    SUM(Tracking[Amount]*(Tracking[Type]=type)*(YEAR(Tracking[Effective Date])=selected_year)*(MONTH(Tracking[Effective Date])=selected_period))),
   IF(selected_period="Total Year",
    SUM(Tracking[Amount]*(Tracking[Type]=type)*(Tracking[Category]=item)*(YEAR(Tracking[Effective Date])=selected_year)),
    SUM(Tracking[Amount]*(Tracking[Type]=type)*(Tracking[Category]=item)*(YEAR(Tracking[Effective Date])=selected_year)*(MONTH(Tracking[Effective Date])=selected_period)))
 )
)</f>
        <v/>
      </c>
      <c r="L41" s="62" t="str" cm="1">
        <f t="array" ref="L41">IF(OR(is_header,is_empty),"",
   INDEX('Budget Planning'!$E:$BU,row_id,
        MATCH(IF(selected_period="Total Year",selected_year,DATE(selected_year,selected_period,1)),'Budget Planning'!$E$9:$BU$9,0)))</f>
        <v/>
      </c>
      <c r="M41" s="30" t="str" cm="1">
        <f t="array" ref="M41">IF(is_cat,
   IF(header_row_id=income_header_row,MATCH(income_min_row,$C:$C,0),
   IF(header_row_id=expenses_header_row,MATCH(expenses_min_row,$C:$C,0),
   IF(header_row_id=savings_header_row,MATCH(savings_min_row,$C:$C,0),""))),"")</f>
        <v/>
      </c>
      <c r="N41" s="31" t="str" cm="1">
        <f t="array" ref="N41">IF(is_cat,
   IF(header_row_id=income_header_row,MATCH(income_max_row,$C:$C,0),
   IF(header_row_id=expenses_header_row,MATCH(expenses_max_row,$C:$C,0),
   IF(header_row_id=savings_header_row,MATCH(savings_max_row,$C:$C,0),""))),"")</f>
        <v/>
      </c>
      <c r="O41" s="65" t="str">
        <f t="shared" si="3"/>
        <v/>
      </c>
      <c r="P41" s="64" t="str">
        <f t="shared" ca="1" si="4"/>
        <v/>
      </c>
      <c r="Q41" s="64" t="str">
        <f t="shared" si="5"/>
        <v/>
      </c>
      <c r="R41" s="66" t="str">
        <f t="shared" ca="1" si="6"/>
        <v/>
      </c>
      <c r="S41" s="64" t="str">
        <f t="shared" si="7"/>
        <v/>
      </c>
      <c r="T41" s="64" t="str">
        <f t="shared" si="8"/>
        <v/>
      </c>
      <c r="U41" s="64" t="str">
        <f t="shared" ca="1" si="9"/>
        <v/>
      </c>
      <c r="V41" s="64" t="str">
        <f t="shared" si="10"/>
        <v/>
      </c>
      <c r="W41" s="66" t="str">
        <f t="shared" ca="1" si="11"/>
        <v/>
      </c>
      <c r="X41" s="68">
        <f t="shared" si="12"/>
        <v>-1</v>
      </c>
      <c r="Y41" s="71" t="str">
        <f t="shared" si="13"/>
        <v/>
      </c>
      <c r="Z41" s="72" t="str">
        <f t="shared" si="14"/>
        <v/>
      </c>
      <c r="AA41" s="72" t="str">
        <f t="shared" si="15"/>
        <v/>
      </c>
      <c r="AB41" s="70" t="str">
        <f t="shared" si="16"/>
        <v/>
      </c>
      <c r="AC41" s="72" t="str">
        <f t="shared" si="17"/>
        <v/>
      </c>
      <c r="AD41" s="72" t="str">
        <f t="shared" si="18"/>
        <v/>
      </c>
    </row>
    <row r="42" spans="3:44" x14ac:dyDescent="0.2">
      <c r="C42" s="30" cm="1">
        <f t="array" ref="C42">IF(C41=-1,-1,
IF(C41&lt;income_max_row,C41+1,
IF(C41=income_max_row,income_total_row,
IF(C41=income_total_row,"/1",
IF(C41="/1",expenses_header_row,
IF(C41&lt;expenses_max_row,C41+1,
IF(C41=expenses_max_row,expenses_total_row,
IF(C41=expenses_total_row,"/2",
IF(C41="/2",savings_header_row,
IF(C41&lt;savings_max_row,C41+1,
IF(C41=savings_max_row,savings_total_row,-1)))))))))))</f>
        <v>-1</v>
      </c>
      <c r="D42">
        <f t="shared" si="0"/>
        <v>-1</v>
      </c>
      <c r="E42" s="30" cm="1">
        <f t="array" ref="E42">1*OR(row_id=income_header_row,row_id=expenses_header_row,row_id=savings_header_row)</f>
        <v>0</v>
      </c>
      <c r="F42">
        <f t="shared" si="1"/>
        <v>0</v>
      </c>
      <c r="G42" cm="1">
        <f t="array" ref="G42">1*OR(row_id=income_total_row,row_id=expenses_total_row,row_id=savings_total_row)</f>
        <v>0</v>
      </c>
      <c r="H42">
        <f t="shared" si="2"/>
        <v>1</v>
      </c>
      <c r="I42" s="30" t="str" cm="1">
        <f t="array" ref="I42">IFERROR(INDEX('Budget Planning'!$C:$C,header_row_id),"")</f>
        <v/>
      </c>
      <c r="J42" t="str" cm="1">
        <f t="array" ref="J42">IFERROR(INDEX('Budget Planning'!$C:$C,row_id),"")</f>
        <v/>
      </c>
      <c r="K42" s="61" t="str" cm="1">
        <f t="array" ref="K42">IF(OR(is_header,is_empty),"",
   IF(is_total,
     IF(selected_period="Total Year",
    SUM(Tracking[Amount]*(Tracking[Type]=type)*(YEAR(Tracking[Effective Date])=selected_year)),
    SUM(Tracking[Amount]*(Tracking[Type]=type)*(YEAR(Tracking[Effective Date])=selected_year)*(MONTH(Tracking[Effective Date])=selected_period))),
   IF(selected_period="Total Year",
    SUM(Tracking[Amount]*(Tracking[Type]=type)*(Tracking[Category]=item)*(YEAR(Tracking[Effective Date])=selected_year)),
    SUM(Tracking[Amount]*(Tracking[Type]=type)*(Tracking[Category]=item)*(YEAR(Tracking[Effective Date])=selected_year)*(MONTH(Tracking[Effective Date])=selected_period)))
 )
)</f>
        <v/>
      </c>
      <c r="L42" s="62" t="str" cm="1">
        <f t="array" ref="L42">IF(OR(is_header,is_empty),"",
   INDEX('Budget Planning'!$E:$BU,row_id,
        MATCH(IF(selected_period="Total Year",selected_year,DATE(selected_year,selected_period,1)),'Budget Planning'!$E$9:$BU$9,0)))</f>
        <v/>
      </c>
      <c r="M42" s="30" t="str" cm="1">
        <f t="array" ref="M42">IF(is_cat,
   IF(header_row_id=income_header_row,MATCH(income_min_row,$C:$C,0),
   IF(header_row_id=expenses_header_row,MATCH(expenses_min_row,$C:$C,0),
   IF(header_row_id=savings_header_row,MATCH(savings_min_row,$C:$C,0),""))),"")</f>
        <v/>
      </c>
      <c r="N42" s="31" t="str" cm="1">
        <f t="array" ref="N42">IF(is_cat,
   IF(header_row_id=income_header_row,MATCH(income_max_row,$C:$C,0),
   IF(header_row_id=expenses_header_row,MATCH(expenses_max_row,$C:$C,0),
   IF(header_row_id=savings_header_row,MATCH(savings_max_row,$C:$C,0),""))),"")</f>
        <v/>
      </c>
      <c r="O42" s="65" t="str">
        <f t="shared" si="3"/>
        <v/>
      </c>
      <c r="P42" s="64" t="str">
        <f t="shared" ca="1" si="4"/>
        <v/>
      </c>
      <c r="Q42" s="64" t="str">
        <f t="shared" si="5"/>
        <v/>
      </c>
      <c r="R42" s="66" t="str">
        <f t="shared" ca="1" si="6"/>
        <v/>
      </c>
      <c r="S42" s="64" t="str">
        <f t="shared" si="7"/>
        <v/>
      </c>
      <c r="T42" s="64" t="str">
        <f t="shared" si="8"/>
        <v/>
      </c>
      <c r="U42" s="64" t="str">
        <f t="shared" ca="1" si="9"/>
        <v/>
      </c>
      <c r="V42" s="64" t="str">
        <f t="shared" si="10"/>
        <v/>
      </c>
      <c r="W42" s="66" t="str">
        <f t="shared" ca="1" si="11"/>
        <v/>
      </c>
      <c r="X42" s="68">
        <f t="shared" si="12"/>
        <v>-1</v>
      </c>
      <c r="Y42" s="71" t="str">
        <f t="shared" si="13"/>
        <v/>
      </c>
      <c r="Z42" s="72" t="str">
        <f t="shared" si="14"/>
        <v/>
      </c>
      <c r="AA42" s="72" t="str">
        <f t="shared" si="15"/>
        <v/>
      </c>
      <c r="AB42" s="70" t="str">
        <f t="shared" si="16"/>
        <v/>
      </c>
      <c r="AC42" s="72" t="str">
        <f t="shared" si="17"/>
        <v/>
      </c>
      <c r="AD42" s="72" t="str">
        <f t="shared" si="18"/>
        <v/>
      </c>
    </row>
    <row r="43" spans="3:44" x14ac:dyDescent="0.2">
      <c r="C43" s="30" cm="1">
        <f t="array" ref="C43">IF(C42=-1,-1,
IF(C42&lt;income_max_row,C42+1,
IF(C42=income_max_row,income_total_row,
IF(C42=income_total_row,"/1",
IF(C42="/1",expenses_header_row,
IF(C42&lt;expenses_max_row,C42+1,
IF(C42=expenses_max_row,expenses_total_row,
IF(C42=expenses_total_row,"/2",
IF(C42="/2",savings_header_row,
IF(C42&lt;savings_max_row,C42+1,
IF(C42=savings_max_row,savings_total_row,-1)))))))))))</f>
        <v>-1</v>
      </c>
      <c r="D43">
        <f t="shared" si="0"/>
        <v>-1</v>
      </c>
      <c r="E43" s="30" cm="1">
        <f t="array" ref="E43">1*OR(row_id=income_header_row,row_id=expenses_header_row,row_id=savings_header_row)</f>
        <v>0</v>
      </c>
      <c r="F43">
        <f t="shared" si="1"/>
        <v>0</v>
      </c>
      <c r="G43" cm="1">
        <f t="array" ref="G43">1*OR(row_id=income_total_row,row_id=expenses_total_row,row_id=savings_total_row)</f>
        <v>0</v>
      </c>
      <c r="H43">
        <f t="shared" si="2"/>
        <v>1</v>
      </c>
      <c r="I43" s="30" t="str" cm="1">
        <f t="array" ref="I43">IFERROR(INDEX('Budget Planning'!$C:$C,header_row_id),"")</f>
        <v/>
      </c>
      <c r="J43" t="str" cm="1">
        <f t="array" ref="J43">IFERROR(INDEX('Budget Planning'!$C:$C,row_id),"")</f>
        <v/>
      </c>
      <c r="K43" s="61" t="str" cm="1">
        <f t="array" ref="K43">IF(OR(is_header,is_empty),"",
   IF(is_total,
     IF(selected_period="Total Year",
    SUM(Tracking[Amount]*(Tracking[Type]=type)*(YEAR(Tracking[Effective Date])=selected_year)),
    SUM(Tracking[Amount]*(Tracking[Type]=type)*(YEAR(Tracking[Effective Date])=selected_year)*(MONTH(Tracking[Effective Date])=selected_period))),
   IF(selected_period="Total Year",
    SUM(Tracking[Amount]*(Tracking[Type]=type)*(Tracking[Category]=item)*(YEAR(Tracking[Effective Date])=selected_year)),
    SUM(Tracking[Amount]*(Tracking[Type]=type)*(Tracking[Category]=item)*(YEAR(Tracking[Effective Date])=selected_year)*(MONTH(Tracking[Effective Date])=selected_period)))
 )
)</f>
        <v/>
      </c>
      <c r="L43" s="62" t="str" cm="1">
        <f t="array" ref="L43">IF(OR(is_header,is_empty),"",
   INDEX('Budget Planning'!$E:$BU,row_id,
        MATCH(IF(selected_period="Total Year",selected_year,DATE(selected_year,selected_period,1)),'Budget Planning'!$E$9:$BU$9,0)))</f>
        <v/>
      </c>
      <c r="M43" s="30" t="str" cm="1">
        <f t="array" ref="M43">IF(is_cat,
   IF(header_row_id=income_header_row,MATCH(income_min_row,$C:$C,0),
   IF(header_row_id=expenses_header_row,MATCH(expenses_min_row,$C:$C,0),
   IF(header_row_id=savings_header_row,MATCH(savings_min_row,$C:$C,0),""))),"")</f>
        <v/>
      </c>
      <c r="N43" s="31" t="str" cm="1">
        <f t="array" ref="N43">IF(is_cat,
   IF(header_row_id=income_header_row,MATCH(income_max_row,$C:$C,0),
   IF(header_row_id=expenses_header_row,MATCH(expenses_max_row,$C:$C,0),
   IF(header_row_id=savings_header_row,MATCH(savings_max_row,$C:$C,0),""))),"")</f>
        <v/>
      </c>
      <c r="O43" s="65" t="str">
        <f t="shared" si="3"/>
        <v/>
      </c>
      <c r="P43" s="64" t="str">
        <f t="shared" ca="1" si="4"/>
        <v/>
      </c>
      <c r="Q43" s="64" t="str">
        <f t="shared" si="5"/>
        <v/>
      </c>
      <c r="R43" s="66" t="str">
        <f t="shared" ca="1" si="6"/>
        <v/>
      </c>
      <c r="S43" s="64" t="str">
        <f t="shared" si="7"/>
        <v/>
      </c>
      <c r="T43" s="64" t="str">
        <f t="shared" si="8"/>
        <v/>
      </c>
      <c r="U43" s="64" t="str">
        <f t="shared" ca="1" si="9"/>
        <v/>
      </c>
      <c r="V43" s="64" t="str">
        <f t="shared" si="10"/>
        <v/>
      </c>
      <c r="W43" s="66" t="str">
        <f t="shared" ca="1" si="11"/>
        <v/>
      </c>
      <c r="X43" s="68">
        <f t="shared" si="12"/>
        <v>-1</v>
      </c>
      <c r="Y43" s="71" t="str">
        <f t="shared" si="13"/>
        <v/>
      </c>
      <c r="Z43" s="72" t="str">
        <f t="shared" si="14"/>
        <v/>
      </c>
      <c r="AA43" s="72" t="str">
        <f t="shared" si="15"/>
        <v/>
      </c>
      <c r="AB43" s="70" t="str">
        <f t="shared" si="16"/>
        <v/>
      </c>
      <c r="AC43" s="72" t="str">
        <f t="shared" si="17"/>
        <v/>
      </c>
      <c r="AD43" s="72" t="str">
        <f t="shared" si="18"/>
        <v/>
      </c>
    </row>
    <row r="44" spans="3:44" x14ac:dyDescent="0.2">
      <c r="C44" s="30" cm="1">
        <f t="array" ref="C44">IF(C43=-1,-1,
IF(C43&lt;income_max_row,C43+1,
IF(C43=income_max_row,income_total_row,
IF(C43=income_total_row,"/1",
IF(C43="/1",expenses_header_row,
IF(C43&lt;expenses_max_row,C43+1,
IF(C43=expenses_max_row,expenses_total_row,
IF(C43=expenses_total_row,"/2",
IF(C43="/2",savings_header_row,
IF(C43&lt;savings_max_row,C43+1,
IF(C43=savings_max_row,savings_total_row,-1)))))))))))</f>
        <v>-1</v>
      </c>
      <c r="D44">
        <f t="shared" si="0"/>
        <v>-1</v>
      </c>
      <c r="E44" s="30" cm="1">
        <f t="array" ref="E44">1*OR(row_id=income_header_row,row_id=expenses_header_row,row_id=savings_header_row)</f>
        <v>0</v>
      </c>
      <c r="F44">
        <f t="shared" si="1"/>
        <v>0</v>
      </c>
      <c r="G44" cm="1">
        <f t="array" ref="G44">1*OR(row_id=income_total_row,row_id=expenses_total_row,row_id=savings_total_row)</f>
        <v>0</v>
      </c>
      <c r="H44">
        <f t="shared" si="2"/>
        <v>1</v>
      </c>
      <c r="I44" s="30" t="str" cm="1">
        <f t="array" ref="I44">IFERROR(INDEX('Budget Planning'!$C:$C,header_row_id),"")</f>
        <v/>
      </c>
      <c r="J44" t="str" cm="1">
        <f t="array" ref="J44">IFERROR(INDEX('Budget Planning'!$C:$C,row_id),"")</f>
        <v/>
      </c>
      <c r="K44" s="61" t="str" cm="1">
        <f t="array" ref="K44">IF(OR(is_header,is_empty),"",
   IF(is_total,
     IF(selected_period="Total Year",
    SUM(Tracking[Amount]*(Tracking[Type]=type)*(YEAR(Tracking[Effective Date])=selected_year)),
    SUM(Tracking[Amount]*(Tracking[Type]=type)*(YEAR(Tracking[Effective Date])=selected_year)*(MONTH(Tracking[Effective Date])=selected_period))),
   IF(selected_period="Total Year",
    SUM(Tracking[Amount]*(Tracking[Type]=type)*(Tracking[Category]=item)*(YEAR(Tracking[Effective Date])=selected_year)),
    SUM(Tracking[Amount]*(Tracking[Type]=type)*(Tracking[Category]=item)*(YEAR(Tracking[Effective Date])=selected_year)*(MONTH(Tracking[Effective Date])=selected_period)))
 )
)</f>
        <v/>
      </c>
      <c r="L44" s="62" t="str" cm="1">
        <f t="array" ref="L44">IF(OR(is_header,is_empty),"",
   INDEX('Budget Planning'!$E:$BU,row_id,
        MATCH(IF(selected_period="Total Year",selected_year,DATE(selected_year,selected_period,1)),'Budget Planning'!$E$9:$BU$9,0)))</f>
        <v/>
      </c>
      <c r="M44" s="30" t="str" cm="1">
        <f t="array" ref="M44">IF(is_cat,
   IF(header_row_id=income_header_row,MATCH(income_min_row,$C:$C,0),
   IF(header_row_id=expenses_header_row,MATCH(expenses_min_row,$C:$C,0),
   IF(header_row_id=savings_header_row,MATCH(savings_min_row,$C:$C,0),""))),"")</f>
        <v/>
      </c>
      <c r="N44" s="31" t="str" cm="1">
        <f t="array" ref="N44">IF(is_cat,
   IF(header_row_id=income_header_row,MATCH(income_max_row,$C:$C,0),
   IF(header_row_id=expenses_header_row,MATCH(expenses_max_row,$C:$C,0),
   IF(header_row_id=savings_header_row,MATCH(savings_max_row,$C:$C,0),""))),"")</f>
        <v/>
      </c>
      <c r="O44" s="65" t="str">
        <f t="shared" si="3"/>
        <v/>
      </c>
      <c r="P44" s="64" t="str">
        <f t="shared" ca="1" si="4"/>
        <v/>
      </c>
      <c r="Q44" s="64" t="str">
        <f t="shared" si="5"/>
        <v/>
      </c>
      <c r="R44" s="66" t="str">
        <f t="shared" ca="1" si="6"/>
        <v/>
      </c>
      <c r="S44" s="64" t="str">
        <f t="shared" si="7"/>
        <v/>
      </c>
      <c r="T44" s="64" t="str">
        <f t="shared" si="8"/>
        <v/>
      </c>
      <c r="U44" s="64" t="str">
        <f t="shared" ca="1" si="9"/>
        <v/>
      </c>
      <c r="V44" s="64" t="str">
        <f t="shared" si="10"/>
        <v/>
      </c>
      <c r="W44" s="66" t="str">
        <f t="shared" ca="1" si="11"/>
        <v/>
      </c>
      <c r="X44" s="68">
        <f t="shared" si="12"/>
        <v>-1</v>
      </c>
      <c r="Y44" s="71" t="str">
        <f t="shared" si="13"/>
        <v/>
      </c>
      <c r="Z44" s="72" t="str">
        <f t="shared" si="14"/>
        <v/>
      </c>
      <c r="AA44" s="72" t="str">
        <f t="shared" si="15"/>
        <v/>
      </c>
      <c r="AB44" s="70" t="str">
        <f t="shared" si="16"/>
        <v/>
      </c>
      <c r="AC44" s="72" t="str">
        <f t="shared" si="17"/>
        <v/>
      </c>
      <c r="AD44" s="72" t="str">
        <f t="shared" si="18"/>
        <v/>
      </c>
    </row>
    <row r="45" spans="3:44" x14ac:dyDescent="0.2">
      <c r="C45" s="30" cm="1">
        <f t="array" ref="C45">IF(C44=-1,-1,
IF(C44&lt;income_max_row,C44+1,
IF(C44=income_max_row,income_total_row,
IF(C44=income_total_row,"/1",
IF(C44="/1",expenses_header_row,
IF(C44&lt;expenses_max_row,C44+1,
IF(C44=expenses_max_row,expenses_total_row,
IF(C44=expenses_total_row,"/2",
IF(C44="/2",savings_header_row,
IF(C44&lt;savings_max_row,C44+1,
IF(C44=savings_max_row,savings_total_row,-1)))))))))))</f>
        <v>-1</v>
      </c>
      <c r="D45">
        <f t="shared" si="0"/>
        <v>-1</v>
      </c>
      <c r="E45" s="30" cm="1">
        <f t="array" ref="E45">1*OR(row_id=income_header_row,row_id=expenses_header_row,row_id=savings_header_row)</f>
        <v>0</v>
      </c>
      <c r="F45">
        <f t="shared" si="1"/>
        <v>0</v>
      </c>
      <c r="G45" cm="1">
        <f t="array" ref="G45">1*OR(row_id=income_total_row,row_id=expenses_total_row,row_id=savings_total_row)</f>
        <v>0</v>
      </c>
      <c r="H45">
        <f t="shared" si="2"/>
        <v>1</v>
      </c>
      <c r="I45" s="30" t="str" cm="1">
        <f t="array" ref="I45">IFERROR(INDEX('Budget Planning'!$C:$C,header_row_id),"")</f>
        <v/>
      </c>
      <c r="J45" t="str" cm="1">
        <f t="array" ref="J45">IFERROR(INDEX('Budget Planning'!$C:$C,row_id),"")</f>
        <v/>
      </c>
      <c r="K45" s="61" t="str" cm="1">
        <f t="array" ref="K45">IF(OR(is_header,is_empty),"",
   IF(is_total,
     IF(selected_period="Total Year",
    SUM(Tracking[Amount]*(Tracking[Type]=type)*(YEAR(Tracking[Effective Date])=selected_year)),
    SUM(Tracking[Amount]*(Tracking[Type]=type)*(YEAR(Tracking[Effective Date])=selected_year)*(MONTH(Tracking[Effective Date])=selected_period))),
   IF(selected_period="Total Year",
    SUM(Tracking[Amount]*(Tracking[Type]=type)*(Tracking[Category]=item)*(YEAR(Tracking[Effective Date])=selected_year)),
    SUM(Tracking[Amount]*(Tracking[Type]=type)*(Tracking[Category]=item)*(YEAR(Tracking[Effective Date])=selected_year)*(MONTH(Tracking[Effective Date])=selected_period)))
 )
)</f>
        <v/>
      </c>
      <c r="L45" s="62" t="str" cm="1">
        <f t="array" ref="L45">IF(OR(is_header,is_empty),"",
   INDEX('Budget Planning'!$E:$BU,row_id,
        MATCH(IF(selected_period="Total Year",selected_year,DATE(selected_year,selected_period,1)),'Budget Planning'!$E$9:$BU$9,0)))</f>
        <v/>
      </c>
      <c r="M45" s="30" t="str" cm="1">
        <f t="array" ref="M45">IF(is_cat,
   IF(header_row_id=income_header_row,MATCH(income_min_row,$C:$C,0),
   IF(header_row_id=expenses_header_row,MATCH(expenses_min_row,$C:$C,0),
   IF(header_row_id=savings_header_row,MATCH(savings_min_row,$C:$C,0),""))),"")</f>
        <v/>
      </c>
      <c r="N45" s="31" t="str" cm="1">
        <f t="array" ref="N45">IF(is_cat,
   IF(header_row_id=income_header_row,MATCH(income_max_row,$C:$C,0),
   IF(header_row_id=expenses_header_row,MATCH(expenses_max_row,$C:$C,0),
   IF(header_row_id=savings_header_row,MATCH(savings_max_row,$C:$C,0),""))),"")</f>
        <v/>
      </c>
      <c r="O45" s="65" t="str">
        <f t="shared" si="3"/>
        <v/>
      </c>
      <c r="P45" s="64" t="str">
        <f t="shared" ca="1" si="4"/>
        <v/>
      </c>
      <c r="Q45" s="64" t="str">
        <f t="shared" si="5"/>
        <v/>
      </c>
      <c r="R45" s="66" t="str">
        <f t="shared" ca="1" si="6"/>
        <v/>
      </c>
      <c r="S45" s="64" t="str">
        <f t="shared" si="7"/>
        <v/>
      </c>
      <c r="T45" s="64" t="str">
        <f t="shared" si="8"/>
        <v/>
      </c>
      <c r="U45" s="64" t="str">
        <f t="shared" ca="1" si="9"/>
        <v/>
      </c>
      <c r="V45" s="64" t="str">
        <f t="shared" si="10"/>
        <v/>
      </c>
      <c r="W45" s="66" t="str">
        <f t="shared" ca="1" si="11"/>
        <v/>
      </c>
      <c r="X45" s="68">
        <f t="shared" si="12"/>
        <v>-1</v>
      </c>
      <c r="Y45" s="71" t="str">
        <f t="shared" si="13"/>
        <v/>
      </c>
      <c r="Z45" s="72" t="str">
        <f t="shared" si="14"/>
        <v/>
      </c>
      <c r="AA45" s="72" t="str">
        <f t="shared" si="15"/>
        <v/>
      </c>
      <c r="AB45" s="70" t="str">
        <f t="shared" si="16"/>
        <v/>
      </c>
      <c r="AC45" s="72" t="str">
        <f t="shared" si="17"/>
        <v/>
      </c>
      <c r="AD45" s="72" t="str">
        <f t="shared" si="18"/>
        <v/>
      </c>
    </row>
    <row r="46" spans="3:44" x14ac:dyDescent="0.2">
      <c r="C46" s="30" cm="1">
        <f t="array" ref="C46">IF(C45=-1,-1,
IF(C45&lt;income_max_row,C45+1,
IF(C45=income_max_row,income_total_row,
IF(C45=income_total_row,"/1",
IF(C45="/1",expenses_header_row,
IF(C45&lt;expenses_max_row,C45+1,
IF(C45=expenses_max_row,expenses_total_row,
IF(C45=expenses_total_row,"/2",
IF(C45="/2",savings_header_row,
IF(C45&lt;savings_max_row,C45+1,
IF(C45=savings_max_row,savings_total_row,-1)))))))))))</f>
        <v>-1</v>
      </c>
      <c r="D46">
        <f t="shared" si="0"/>
        <v>-1</v>
      </c>
      <c r="E46" s="30" cm="1">
        <f t="array" ref="E46">1*OR(row_id=income_header_row,row_id=expenses_header_row,row_id=savings_header_row)</f>
        <v>0</v>
      </c>
      <c r="F46">
        <f t="shared" si="1"/>
        <v>0</v>
      </c>
      <c r="G46" cm="1">
        <f t="array" ref="G46">1*OR(row_id=income_total_row,row_id=expenses_total_row,row_id=savings_total_row)</f>
        <v>0</v>
      </c>
      <c r="H46">
        <f t="shared" si="2"/>
        <v>1</v>
      </c>
      <c r="I46" s="30" t="str" cm="1">
        <f t="array" ref="I46">IFERROR(INDEX('Budget Planning'!$C:$C,header_row_id),"")</f>
        <v/>
      </c>
      <c r="J46" t="str" cm="1">
        <f t="array" ref="J46">IFERROR(INDEX('Budget Planning'!$C:$C,row_id),"")</f>
        <v/>
      </c>
      <c r="K46" s="61" t="str" cm="1">
        <f t="array" ref="K46">IF(OR(is_header,is_empty),"",
   IF(is_total,
     IF(selected_period="Total Year",
    SUM(Tracking[Amount]*(Tracking[Type]=type)*(YEAR(Tracking[Effective Date])=selected_year)),
    SUM(Tracking[Amount]*(Tracking[Type]=type)*(YEAR(Tracking[Effective Date])=selected_year)*(MONTH(Tracking[Effective Date])=selected_period))),
   IF(selected_period="Total Year",
    SUM(Tracking[Amount]*(Tracking[Type]=type)*(Tracking[Category]=item)*(YEAR(Tracking[Effective Date])=selected_year)),
    SUM(Tracking[Amount]*(Tracking[Type]=type)*(Tracking[Category]=item)*(YEAR(Tracking[Effective Date])=selected_year)*(MONTH(Tracking[Effective Date])=selected_period)))
 )
)</f>
        <v/>
      </c>
      <c r="L46" s="62" t="str" cm="1">
        <f t="array" ref="L46">IF(OR(is_header,is_empty),"",
   INDEX('Budget Planning'!$E:$BU,row_id,
        MATCH(IF(selected_period="Total Year",selected_year,DATE(selected_year,selected_period,1)),'Budget Planning'!$E$9:$BU$9,0)))</f>
        <v/>
      </c>
      <c r="M46" s="30" t="str" cm="1">
        <f t="array" ref="M46">IF(is_cat,
   IF(header_row_id=income_header_row,MATCH(income_min_row,$C:$C,0),
   IF(header_row_id=expenses_header_row,MATCH(expenses_min_row,$C:$C,0),
   IF(header_row_id=savings_header_row,MATCH(savings_min_row,$C:$C,0),""))),"")</f>
        <v/>
      </c>
      <c r="N46" s="31" t="str" cm="1">
        <f t="array" ref="N46">IF(is_cat,
   IF(header_row_id=income_header_row,MATCH(income_max_row,$C:$C,0),
   IF(header_row_id=expenses_header_row,MATCH(expenses_max_row,$C:$C,0),
   IF(header_row_id=savings_header_row,MATCH(savings_max_row,$C:$C,0),""))),"")</f>
        <v/>
      </c>
      <c r="O46" s="65" t="str">
        <f t="shared" si="3"/>
        <v/>
      </c>
      <c r="P46" s="64" t="str">
        <f t="shared" ca="1" si="4"/>
        <v/>
      </c>
      <c r="Q46" s="64" t="str">
        <f t="shared" si="5"/>
        <v/>
      </c>
      <c r="R46" s="66" t="str">
        <f t="shared" ca="1" si="6"/>
        <v/>
      </c>
      <c r="S46" s="64" t="str">
        <f t="shared" si="7"/>
        <v/>
      </c>
      <c r="T46" s="64" t="str">
        <f t="shared" si="8"/>
        <v/>
      </c>
      <c r="U46" s="64" t="str">
        <f t="shared" ca="1" si="9"/>
        <v/>
      </c>
      <c r="V46" s="64" t="str">
        <f t="shared" si="10"/>
        <v/>
      </c>
      <c r="W46" s="66" t="str">
        <f t="shared" ca="1" si="11"/>
        <v/>
      </c>
      <c r="X46" s="68">
        <f t="shared" si="12"/>
        <v>-1</v>
      </c>
      <c r="Y46" s="71" t="str">
        <f t="shared" si="13"/>
        <v/>
      </c>
      <c r="Z46" s="72" t="str">
        <f t="shared" si="14"/>
        <v/>
      </c>
      <c r="AA46" s="72" t="str">
        <f t="shared" si="15"/>
        <v/>
      </c>
      <c r="AB46" s="70" t="str">
        <f t="shared" si="16"/>
        <v/>
      </c>
      <c r="AC46" s="72" t="str">
        <f t="shared" si="17"/>
        <v/>
      </c>
      <c r="AD46" s="72" t="str">
        <f t="shared" si="18"/>
        <v/>
      </c>
    </row>
    <row r="47" spans="3:44" x14ac:dyDescent="0.2">
      <c r="C47" s="30" cm="1">
        <f t="array" ref="C47">IF(C46=-1,-1,
IF(C46&lt;income_max_row,C46+1,
IF(C46=income_max_row,income_total_row,
IF(C46=income_total_row,"/1",
IF(C46="/1",expenses_header_row,
IF(C46&lt;expenses_max_row,C46+1,
IF(C46=expenses_max_row,expenses_total_row,
IF(C46=expenses_total_row,"/2",
IF(C46="/2",savings_header_row,
IF(C46&lt;savings_max_row,C46+1,
IF(C46=savings_max_row,savings_total_row,-1)))))))))))</f>
        <v>-1</v>
      </c>
      <c r="D47">
        <f t="shared" si="0"/>
        <v>-1</v>
      </c>
      <c r="E47" s="30" cm="1">
        <f t="array" ref="E47">1*OR(row_id=income_header_row,row_id=expenses_header_row,row_id=savings_header_row)</f>
        <v>0</v>
      </c>
      <c r="F47">
        <f t="shared" si="1"/>
        <v>0</v>
      </c>
      <c r="G47" cm="1">
        <f t="array" ref="G47">1*OR(row_id=income_total_row,row_id=expenses_total_row,row_id=savings_total_row)</f>
        <v>0</v>
      </c>
      <c r="H47">
        <f t="shared" si="2"/>
        <v>1</v>
      </c>
      <c r="I47" s="30" t="str" cm="1">
        <f t="array" ref="I47">IFERROR(INDEX('Budget Planning'!$C:$C,header_row_id),"")</f>
        <v/>
      </c>
      <c r="J47" t="str" cm="1">
        <f t="array" ref="J47">IFERROR(INDEX('Budget Planning'!$C:$C,row_id),"")</f>
        <v/>
      </c>
      <c r="K47" s="61" t="str" cm="1">
        <f t="array" ref="K47">IF(OR(is_header,is_empty),"",
   IF(is_total,
     IF(selected_period="Total Year",
    SUM(Tracking[Amount]*(Tracking[Type]=type)*(YEAR(Tracking[Effective Date])=selected_year)),
    SUM(Tracking[Amount]*(Tracking[Type]=type)*(YEAR(Tracking[Effective Date])=selected_year)*(MONTH(Tracking[Effective Date])=selected_period))),
   IF(selected_period="Total Year",
    SUM(Tracking[Amount]*(Tracking[Type]=type)*(Tracking[Category]=item)*(YEAR(Tracking[Effective Date])=selected_year)),
    SUM(Tracking[Amount]*(Tracking[Type]=type)*(Tracking[Category]=item)*(YEAR(Tracking[Effective Date])=selected_year)*(MONTH(Tracking[Effective Date])=selected_period)))
 )
)</f>
        <v/>
      </c>
      <c r="L47" s="62" t="str" cm="1">
        <f t="array" ref="L47">IF(OR(is_header,is_empty),"",
   INDEX('Budget Planning'!$E:$BU,row_id,
        MATCH(IF(selected_period="Total Year",selected_year,DATE(selected_year,selected_period,1)),'Budget Planning'!$E$9:$BU$9,0)))</f>
        <v/>
      </c>
      <c r="M47" s="30" t="str" cm="1">
        <f t="array" ref="M47">IF(is_cat,
   IF(header_row_id=income_header_row,MATCH(income_min_row,$C:$C,0),
   IF(header_row_id=expenses_header_row,MATCH(expenses_min_row,$C:$C,0),
   IF(header_row_id=savings_header_row,MATCH(savings_min_row,$C:$C,0),""))),"")</f>
        <v/>
      </c>
      <c r="N47" s="31" t="str" cm="1">
        <f t="array" ref="N47">IF(is_cat,
   IF(header_row_id=income_header_row,MATCH(income_max_row,$C:$C,0),
   IF(header_row_id=expenses_header_row,MATCH(expenses_max_row,$C:$C,0),
   IF(header_row_id=savings_header_row,MATCH(savings_max_row,$C:$C,0),""))),"")</f>
        <v/>
      </c>
      <c r="O47" s="65" t="str">
        <f t="shared" si="3"/>
        <v/>
      </c>
      <c r="P47" s="64" t="str">
        <f t="shared" ca="1" si="4"/>
        <v/>
      </c>
      <c r="Q47" s="64" t="str">
        <f t="shared" si="5"/>
        <v/>
      </c>
      <c r="R47" s="66" t="str">
        <f t="shared" ca="1" si="6"/>
        <v/>
      </c>
      <c r="S47" s="64" t="str">
        <f t="shared" si="7"/>
        <v/>
      </c>
      <c r="T47" s="64" t="str">
        <f t="shared" si="8"/>
        <v/>
      </c>
      <c r="U47" s="64" t="str">
        <f t="shared" ca="1" si="9"/>
        <v/>
      </c>
      <c r="V47" s="64" t="str">
        <f t="shared" si="10"/>
        <v/>
      </c>
      <c r="W47" s="66" t="str">
        <f t="shared" ca="1" si="11"/>
        <v/>
      </c>
      <c r="X47" s="68">
        <f t="shared" si="12"/>
        <v>-1</v>
      </c>
      <c r="Y47" s="71" t="str">
        <f t="shared" si="13"/>
        <v/>
      </c>
      <c r="Z47" s="72" t="str">
        <f t="shared" si="14"/>
        <v/>
      </c>
      <c r="AA47" s="72" t="str">
        <f t="shared" si="15"/>
        <v/>
      </c>
      <c r="AB47" s="70" t="str">
        <f t="shared" si="16"/>
        <v/>
      </c>
      <c r="AC47" s="72" t="str">
        <f t="shared" si="17"/>
        <v/>
      </c>
      <c r="AD47" s="72" t="str">
        <f t="shared" si="18"/>
        <v/>
      </c>
    </row>
    <row r="48" spans="3:44" x14ac:dyDescent="0.2">
      <c r="C48" s="30" cm="1">
        <f t="array" ref="C48">IF(C47=-1,-1,
IF(C47&lt;income_max_row,C47+1,
IF(C47=income_max_row,income_total_row,
IF(C47=income_total_row,"/1",
IF(C47="/1",expenses_header_row,
IF(C47&lt;expenses_max_row,C47+1,
IF(C47=expenses_max_row,expenses_total_row,
IF(C47=expenses_total_row,"/2",
IF(C47="/2",savings_header_row,
IF(C47&lt;savings_max_row,C47+1,
IF(C47=savings_max_row,savings_total_row,-1)))))))))))</f>
        <v>-1</v>
      </c>
      <c r="D48">
        <f t="shared" si="0"/>
        <v>-1</v>
      </c>
      <c r="E48" s="30" cm="1">
        <f t="array" ref="E48">1*OR(row_id=income_header_row,row_id=expenses_header_row,row_id=savings_header_row)</f>
        <v>0</v>
      </c>
      <c r="F48">
        <f t="shared" si="1"/>
        <v>0</v>
      </c>
      <c r="G48" cm="1">
        <f t="array" ref="G48">1*OR(row_id=income_total_row,row_id=expenses_total_row,row_id=savings_total_row)</f>
        <v>0</v>
      </c>
      <c r="H48">
        <f t="shared" si="2"/>
        <v>1</v>
      </c>
      <c r="I48" s="30" t="str" cm="1">
        <f t="array" ref="I48">IFERROR(INDEX('Budget Planning'!$C:$C,header_row_id),"")</f>
        <v/>
      </c>
      <c r="J48" t="str" cm="1">
        <f t="array" ref="J48">IFERROR(INDEX('Budget Planning'!$C:$C,row_id),"")</f>
        <v/>
      </c>
      <c r="K48" s="61" t="str" cm="1">
        <f t="array" ref="K48">IF(OR(is_header,is_empty),"",
   IF(is_total,
     IF(selected_period="Total Year",
    SUM(Tracking[Amount]*(Tracking[Type]=type)*(YEAR(Tracking[Effective Date])=selected_year)),
    SUM(Tracking[Amount]*(Tracking[Type]=type)*(YEAR(Tracking[Effective Date])=selected_year)*(MONTH(Tracking[Effective Date])=selected_period))),
   IF(selected_period="Total Year",
    SUM(Tracking[Amount]*(Tracking[Type]=type)*(Tracking[Category]=item)*(YEAR(Tracking[Effective Date])=selected_year)),
    SUM(Tracking[Amount]*(Tracking[Type]=type)*(Tracking[Category]=item)*(YEAR(Tracking[Effective Date])=selected_year)*(MONTH(Tracking[Effective Date])=selected_period)))
 )
)</f>
        <v/>
      </c>
      <c r="L48" s="62" t="str" cm="1">
        <f t="array" ref="L48">IF(OR(is_header,is_empty),"",
   INDEX('Budget Planning'!$E:$BU,row_id,
        MATCH(IF(selected_period="Total Year",selected_year,DATE(selected_year,selected_period,1)),'Budget Planning'!$E$9:$BU$9,0)))</f>
        <v/>
      </c>
      <c r="M48" s="30" t="str" cm="1">
        <f t="array" ref="M48">IF(is_cat,
   IF(header_row_id=income_header_row,MATCH(income_min_row,$C:$C,0),
   IF(header_row_id=expenses_header_row,MATCH(expenses_min_row,$C:$C,0),
   IF(header_row_id=savings_header_row,MATCH(savings_min_row,$C:$C,0),""))),"")</f>
        <v/>
      </c>
      <c r="N48" s="31" t="str" cm="1">
        <f t="array" ref="N48">IF(is_cat,
   IF(header_row_id=income_header_row,MATCH(income_max_row,$C:$C,0),
   IF(header_row_id=expenses_header_row,MATCH(expenses_max_row,$C:$C,0),
   IF(header_row_id=savings_header_row,MATCH(savings_max_row,$C:$C,0),""))),"")</f>
        <v/>
      </c>
      <c r="O48" s="65" t="str">
        <f t="shared" si="3"/>
        <v/>
      </c>
      <c r="P48" s="64" t="str">
        <f t="shared" ca="1" si="4"/>
        <v/>
      </c>
      <c r="Q48" s="64" t="str">
        <f t="shared" si="5"/>
        <v/>
      </c>
      <c r="R48" s="66" t="str">
        <f t="shared" ca="1" si="6"/>
        <v/>
      </c>
      <c r="S48" s="64" t="str">
        <f t="shared" si="7"/>
        <v/>
      </c>
      <c r="T48" s="64" t="str">
        <f t="shared" si="8"/>
        <v/>
      </c>
      <c r="U48" s="64" t="str">
        <f t="shared" ca="1" si="9"/>
        <v/>
      </c>
      <c r="V48" s="64" t="str">
        <f t="shared" si="10"/>
        <v/>
      </c>
      <c r="W48" s="66" t="str">
        <f t="shared" ca="1" si="11"/>
        <v/>
      </c>
      <c r="X48" s="68">
        <f t="shared" si="12"/>
        <v>-1</v>
      </c>
      <c r="Y48" s="71" t="str">
        <f t="shared" si="13"/>
        <v/>
      </c>
      <c r="Z48" s="72" t="str">
        <f t="shared" si="14"/>
        <v/>
      </c>
      <c r="AA48" s="72" t="str">
        <f t="shared" si="15"/>
        <v/>
      </c>
      <c r="AB48" s="70" t="str">
        <f t="shared" si="16"/>
        <v/>
      </c>
      <c r="AC48" s="72" t="str">
        <f t="shared" si="17"/>
        <v/>
      </c>
      <c r="AD48" s="72" t="str">
        <f t="shared" si="18"/>
        <v/>
      </c>
    </row>
    <row r="49" spans="3:30" x14ac:dyDescent="0.2">
      <c r="C49" s="30" cm="1">
        <f t="array" ref="C49">IF(C48=-1,-1,
IF(C48&lt;income_max_row,C48+1,
IF(C48=income_max_row,income_total_row,
IF(C48=income_total_row,"/1",
IF(C48="/1",expenses_header_row,
IF(C48&lt;expenses_max_row,C48+1,
IF(C48=expenses_max_row,expenses_total_row,
IF(C48=expenses_total_row,"/2",
IF(C48="/2",savings_header_row,
IF(C48&lt;savings_max_row,C48+1,
IF(C48=savings_max_row,savings_total_row,-1)))))))))))</f>
        <v>-1</v>
      </c>
      <c r="D49">
        <f t="shared" si="0"/>
        <v>-1</v>
      </c>
      <c r="E49" s="30" cm="1">
        <f t="array" ref="E49">1*OR(row_id=income_header_row,row_id=expenses_header_row,row_id=savings_header_row)</f>
        <v>0</v>
      </c>
      <c r="F49">
        <f t="shared" si="1"/>
        <v>0</v>
      </c>
      <c r="G49" cm="1">
        <f t="array" ref="G49">1*OR(row_id=income_total_row,row_id=expenses_total_row,row_id=savings_total_row)</f>
        <v>0</v>
      </c>
      <c r="H49">
        <f t="shared" si="2"/>
        <v>1</v>
      </c>
      <c r="I49" s="30" t="str" cm="1">
        <f t="array" ref="I49">IFERROR(INDEX('Budget Planning'!$C:$C,header_row_id),"")</f>
        <v/>
      </c>
      <c r="J49" t="str" cm="1">
        <f t="array" ref="J49">IFERROR(INDEX('Budget Planning'!$C:$C,row_id),"")</f>
        <v/>
      </c>
      <c r="K49" s="61" t="str" cm="1">
        <f t="array" ref="K49">IF(OR(is_header,is_empty),"",
   IF(is_total,
     IF(selected_period="Total Year",
    SUM(Tracking[Amount]*(Tracking[Type]=type)*(YEAR(Tracking[Effective Date])=selected_year)),
    SUM(Tracking[Amount]*(Tracking[Type]=type)*(YEAR(Tracking[Effective Date])=selected_year)*(MONTH(Tracking[Effective Date])=selected_period))),
   IF(selected_period="Total Year",
    SUM(Tracking[Amount]*(Tracking[Type]=type)*(Tracking[Category]=item)*(YEAR(Tracking[Effective Date])=selected_year)),
    SUM(Tracking[Amount]*(Tracking[Type]=type)*(Tracking[Category]=item)*(YEAR(Tracking[Effective Date])=selected_year)*(MONTH(Tracking[Effective Date])=selected_period)))
 )
)</f>
        <v/>
      </c>
      <c r="L49" s="62" t="str" cm="1">
        <f t="array" ref="L49">IF(OR(is_header,is_empty),"",
   INDEX('Budget Planning'!$E:$BU,row_id,
        MATCH(IF(selected_period="Total Year",selected_year,DATE(selected_year,selected_period,1)),'Budget Planning'!$E$9:$BU$9,0)))</f>
        <v/>
      </c>
      <c r="M49" s="30" t="str" cm="1">
        <f t="array" ref="M49">IF(is_cat,
   IF(header_row_id=income_header_row,MATCH(income_min_row,$C:$C,0),
   IF(header_row_id=expenses_header_row,MATCH(expenses_min_row,$C:$C,0),
   IF(header_row_id=savings_header_row,MATCH(savings_min_row,$C:$C,0),""))),"")</f>
        <v/>
      </c>
      <c r="N49" s="31" t="str" cm="1">
        <f t="array" ref="N49">IF(is_cat,
   IF(header_row_id=income_header_row,MATCH(income_max_row,$C:$C,0),
   IF(header_row_id=expenses_header_row,MATCH(expenses_max_row,$C:$C,0),
   IF(header_row_id=savings_header_row,MATCH(savings_max_row,$C:$C,0),""))),"")</f>
        <v/>
      </c>
      <c r="O49" s="65" t="str">
        <f t="shared" si="3"/>
        <v/>
      </c>
      <c r="P49" s="64" t="str">
        <f t="shared" ca="1" si="4"/>
        <v/>
      </c>
      <c r="Q49" s="64" t="str">
        <f t="shared" si="5"/>
        <v/>
      </c>
      <c r="R49" s="66" t="str">
        <f t="shared" ca="1" si="6"/>
        <v/>
      </c>
      <c r="S49" s="64" t="str">
        <f t="shared" si="7"/>
        <v/>
      </c>
      <c r="T49" s="64" t="str">
        <f t="shared" si="8"/>
        <v/>
      </c>
      <c r="U49" s="64" t="str">
        <f t="shared" ca="1" si="9"/>
        <v/>
      </c>
      <c r="V49" s="64" t="str">
        <f t="shared" si="10"/>
        <v/>
      </c>
      <c r="W49" s="66" t="str">
        <f t="shared" ca="1" si="11"/>
        <v/>
      </c>
      <c r="X49" s="68">
        <f t="shared" si="12"/>
        <v>-1</v>
      </c>
      <c r="Y49" s="71" t="str">
        <f t="shared" si="13"/>
        <v/>
      </c>
      <c r="Z49" s="72" t="str">
        <f t="shared" si="14"/>
        <v/>
      </c>
      <c r="AA49" s="72" t="str">
        <f t="shared" si="15"/>
        <v/>
      </c>
      <c r="AB49" s="70" t="str">
        <f t="shared" si="16"/>
        <v/>
      </c>
      <c r="AC49" s="72" t="str">
        <f t="shared" si="17"/>
        <v/>
      </c>
      <c r="AD49" s="72" t="str">
        <f t="shared" si="18"/>
        <v/>
      </c>
    </row>
    <row r="50" spans="3:30" x14ac:dyDescent="0.2">
      <c r="C50" s="30" cm="1">
        <f t="array" ref="C50">IF(C49=-1,-1,
IF(C49&lt;income_max_row,C49+1,
IF(C49=income_max_row,income_total_row,
IF(C49=income_total_row,"/1",
IF(C49="/1",expenses_header_row,
IF(C49&lt;expenses_max_row,C49+1,
IF(C49=expenses_max_row,expenses_total_row,
IF(C49=expenses_total_row,"/2",
IF(C49="/2",savings_header_row,
IF(C49&lt;savings_max_row,C49+1,
IF(C49=savings_max_row,savings_total_row,-1)))))))))))</f>
        <v>-1</v>
      </c>
      <c r="D50">
        <f t="shared" si="0"/>
        <v>-1</v>
      </c>
      <c r="E50" s="30" cm="1">
        <f t="array" ref="E50">1*OR(row_id=income_header_row,row_id=expenses_header_row,row_id=savings_header_row)</f>
        <v>0</v>
      </c>
      <c r="F50">
        <f t="shared" si="1"/>
        <v>0</v>
      </c>
      <c r="G50" cm="1">
        <f t="array" ref="G50">1*OR(row_id=income_total_row,row_id=expenses_total_row,row_id=savings_total_row)</f>
        <v>0</v>
      </c>
      <c r="H50">
        <f t="shared" si="2"/>
        <v>1</v>
      </c>
      <c r="I50" s="30" t="str" cm="1">
        <f t="array" ref="I50">IFERROR(INDEX('Budget Planning'!$C:$C,header_row_id),"")</f>
        <v/>
      </c>
      <c r="J50" t="str" cm="1">
        <f t="array" ref="J50">IFERROR(INDEX('Budget Planning'!$C:$C,row_id),"")</f>
        <v/>
      </c>
      <c r="K50" s="61" t="str" cm="1">
        <f t="array" ref="K50">IF(OR(is_header,is_empty),"",
   IF(is_total,
     IF(selected_period="Total Year",
    SUM(Tracking[Amount]*(Tracking[Type]=type)*(YEAR(Tracking[Effective Date])=selected_year)),
    SUM(Tracking[Amount]*(Tracking[Type]=type)*(YEAR(Tracking[Effective Date])=selected_year)*(MONTH(Tracking[Effective Date])=selected_period))),
   IF(selected_period="Total Year",
    SUM(Tracking[Amount]*(Tracking[Type]=type)*(Tracking[Category]=item)*(YEAR(Tracking[Effective Date])=selected_year)),
    SUM(Tracking[Amount]*(Tracking[Type]=type)*(Tracking[Category]=item)*(YEAR(Tracking[Effective Date])=selected_year)*(MONTH(Tracking[Effective Date])=selected_period)))
 )
)</f>
        <v/>
      </c>
      <c r="L50" s="62" t="str" cm="1">
        <f t="array" ref="L50">IF(OR(is_header,is_empty),"",
   INDEX('Budget Planning'!$E:$BU,row_id,
        MATCH(IF(selected_period="Total Year",selected_year,DATE(selected_year,selected_period,1)),'Budget Planning'!$E$9:$BU$9,0)))</f>
        <v/>
      </c>
      <c r="M50" s="30" t="str" cm="1">
        <f t="array" ref="M50">IF(is_cat,
   IF(header_row_id=income_header_row,MATCH(income_min_row,$C:$C,0),
   IF(header_row_id=expenses_header_row,MATCH(expenses_min_row,$C:$C,0),
   IF(header_row_id=savings_header_row,MATCH(savings_min_row,$C:$C,0),""))),"")</f>
        <v/>
      </c>
      <c r="N50" s="31" t="str" cm="1">
        <f t="array" ref="N50">IF(is_cat,
   IF(header_row_id=income_header_row,MATCH(income_max_row,$C:$C,0),
   IF(header_row_id=expenses_header_row,MATCH(expenses_max_row,$C:$C,0),
   IF(header_row_id=savings_header_row,MATCH(savings_max_row,$C:$C,0),""))),"")</f>
        <v/>
      </c>
      <c r="O50" s="65" t="str">
        <f t="shared" si="3"/>
        <v/>
      </c>
      <c r="P50" s="64" t="str">
        <f t="shared" ca="1" si="4"/>
        <v/>
      </c>
      <c r="Q50" s="64" t="str">
        <f t="shared" si="5"/>
        <v/>
      </c>
      <c r="R50" s="66" t="str">
        <f t="shared" ca="1" si="6"/>
        <v/>
      </c>
      <c r="S50" s="64" t="str">
        <f t="shared" si="7"/>
        <v/>
      </c>
      <c r="T50" s="64" t="str">
        <f t="shared" si="8"/>
        <v/>
      </c>
      <c r="U50" s="64" t="str">
        <f t="shared" ca="1" si="9"/>
        <v/>
      </c>
      <c r="V50" s="64" t="str">
        <f t="shared" si="10"/>
        <v/>
      </c>
      <c r="W50" s="66" t="str">
        <f t="shared" ca="1" si="11"/>
        <v/>
      </c>
      <c r="X50" s="68">
        <f t="shared" si="12"/>
        <v>-1</v>
      </c>
      <c r="Y50" s="71" t="str">
        <f t="shared" si="13"/>
        <v/>
      </c>
      <c r="Z50" s="72" t="str">
        <f t="shared" si="14"/>
        <v/>
      </c>
      <c r="AA50" s="72" t="str">
        <f t="shared" si="15"/>
        <v/>
      </c>
      <c r="AB50" s="70" t="str">
        <f t="shared" si="16"/>
        <v/>
      </c>
      <c r="AC50" s="72" t="str">
        <f t="shared" si="17"/>
        <v/>
      </c>
      <c r="AD50" s="72" t="str">
        <f t="shared" si="18"/>
        <v/>
      </c>
    </row>
  </sheetData>
  <mergeCells count="8">
    <mergeCell ref="AQ9:AR9"/>
    <mergeCell ref="Y11:AD11"/>
    <mergeCell ref="AF11:AR11"/>
    <mergeCell ref="AQ5:AR5"/>
    <mergeCell ref="AQ6:AR6"/>
    <mergeCell ref="AN6:AP6"/>
    <mergeCell ref="AQ8:AR8"/>
    <mergeCell ref="AN9:AP9"/>
  </mergeCells>
  <conditionalFormatting sqref="Y12:AD50">
    <cfRule type="expression" dxfId="26" priority="22" stopIfTrue="1">
      <formula>is_total</formula>
    </cfRule>
  </conditionalFormatting>
  <conditionalFormatting sqref="Y13:AD50">
    <cfRule type="expression" dxfId="25" priority="19" stopIfTrue="1">
      <formula>row_id=savings_header_row</formula>
    </cfRule>
    <cfRule type="expression" dxfId="24" priority="20" stopIfTrue="1">
      <formula>row_id=expenses_header_row</formula>
    </cfRule>
    <cfRule type="expression" dxfId="23" priority="21" stopIfTrue="1">
      <formula>row_id=income_header_row</formula>
    </cfRule>
  </conditionalFormatting>
  <conditionalFormatting sqref="AB13:AB50">
    <cfRule type="expression" dxfId="22" priority="23" stopIfTrue="1">
      <formula>AND(OR(is_cat,is_total), out_budget &gt; 0, out_percentage_completed &gt;=1, header_row_id=savings_header_row)</formula>
    </cfRule>
    <cfRule type="expression" dxfId="21" priority="24" stopIfTrue="1">
      <formula>AND(OR(is_cat,is_total), out_budget &gt; 0, out_percentage_completed &gt;=1, header_row_id=expenses_header_row)</formula>
    </cfRule>
    <cfRule type="expression" dxfId="20" priority="25" stopIfTrue="1">
      <formula>AND(OR(is_cat,is_total), out_budget &gt; 0, out_percentage_completed &gt;=1, header_row_id=income_header_row)</formula>
    </cfRule>
    <cfRule type="dataBar" priority="26">
      <dataBar>
        <cfvo type="num" val="0"/>
        <cfvo type="num" val="1"/>
        <color theme="0" tint="-0.14999847407452621"/>
      </dataBar>
      <extLst>
        <ext xmlns:x14="http://schemas.microsoft.com/office/spreadsheetml/2009/9/main" uri="{B025F937-C7B1-47D3-B67F-A62EFF666E3E}">
          <x14:id>{60F1CECA-749A-4A93-9182-A5B1E65CD60B}</x14:id>
        </ext>
      </extLst>
    </cfRule>
  </conditionalFormatting>
  <conditionalFormatting sqref="AH16">
    <cfRule type="expression" dxfId="19" priority="13">
      <formula>AI16&lt;&gt;""</formula>
    </cfRule>
  </conditionalFormatting>
  <conditionalFormatting sqref="AH17">
    <cfRule type="expression" dxfId="18" priority="14">
      <formula>AI17&lt;&gt;""</formula>
    </cfRule>
  </conditionalFormatting>
  <conditionalFormatting sqref="AH18">
    <cfRule type="expression" dxfId="17" priority="15">
      <formula>AI18&lt;&gt;""</formula>
    </cfRule>
  </conditionalFormatting>
  <conditionalFormatting sqref="AH19">
    <cfRule type="expression" dxfId="16" priority="16">
      <formula>AI19&lt;&gt;""</formula>
    </cfRule>
  </conditionalFormatting>
  <conditionalFormatting sqref="AH20">
    <cfRule type="expression" dxfId="15" priority="17">
      <formula>AI20&lt;&gt;""</formula>
    </cfRule>
  </conditionalFormatting>
  <conditionalFormatting sqref="AH21">
    <cfRule type="expression" dxfId="14" priority="18">
      <formula>AI21&lt;&gt;""</formula>
    </cfRule>
  </conditionalFormatting>
  <conditionalFormatting sqref="AH29">
    <cfRule type="expression" dxfId="13" priority="7">
      <formula>AI29&lt;&gt;""</formula>
    </cfRule>
  </conditionalFormatting>
  <conditionalFormatting sqref="AH30">
    <cfRule type="expression" dxfId="12" priority="8">
      <formula>AI30&lt;&gt;""</formula>
    </cfRule>
  </conditionalFormatting>
  <conditionalFormatting sqref="AH31">
    <cfRule type="expression" dxfId="11" priority="9">
      <formula>AI31&lt;&gt;""</formula>
    </cfRule>
  </conditionalFormatting>
  <conditionalFormatting sqref="AH32">
    <cfRule type="expression" dxfId="10" priority="10">
      <formula>AI32&lt;&gt;""</formula>
    </cfRule>
  </conditionalFormatting>
  <conditionalFormatting sqref="AH33">
    <cfRule type="expression" dxfId="9" priority="11">
      <formula>AI33&lt;&gt;""</formula>
    </cfRule>
  </conditionalFormatting>
  <conditionalFormatting sqref="AH34">
    <cfRule type="expression" dxfId="8" priority="12">
      <formula>AI34&lt;&gt;""</formula>
    </cfRule>
  </conditionalFormatting>
  <conditionalFormatting sqref="AO29">
    <cfRule type="expression" dxfId="7" priority="1">
      <formula>AP29&lt;&gt;""</formula>
    </cfRule>
  </conditionalFormatting>
  <conditionalFormatting sqref="AO30">
    <cfRule type="expression" dxfId="6" priority="2">
      <formula>AP30&lt;&gt;""</formula>
    </cfRule>
  </conditionalFormatting>
  <conditionalFormatting sqref="AO31">
    <cfRule type="expression" dxfId="5" priority="3">
      <formula>AP31&lt;&gt;""</formula>
    </cfRule>
  </conditionalFormatting>
  <conditionalFormatting sqref="AO32">
    <cfRule type="expression" dxfId="4" priority="4">
      <formula>AP32&lt;&gt;""</formula>
    </cfRule>
  </conditionalFormatting>
  <conditionalFormatting sqref="AO33">
    <cfRule type="expression" dxfId="3" priority="5">
      <formula>AP33&lt;&gt;""</formula>
    </cfRule>
  </conditionalFormatting>
  <conditionalFormatting sqref="AO34">
    <cfRule type="expression" dxfId="2" priority="6">
      <formula>AP34&lt;&gt;""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Check Box 4">
              <controlPr defaultSize="0" autoFill="0" autoLine="0" autoPict="0">
                <anchor moveWithCells="1">
                  <from>
                    <xdr:col>42</xdr:col>
                    <xdr:colOff>203200</xdr:colOff>
                    <xdr:row>12</xdr:row>
                    <xdr:rowOff>76200</xdr:rowOff>
                  </from>
                  <to>
                    <xdr:col>43</xdr:col>
                    <xdr:colOff>355600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Check Box 5">
              <controlPr defaultSize="0" autoFill="0" autoLine="0" autoPict="0">
                <anchor moveWithCells="1">
                  <from>
                    <xdr:col>42</xdr:col>
                    <xdr:colOff>203200</xdr:colOff>
                    <xdr:row>13</xdr:row>
                    <xdr:rowOff>63500</xdr:rowOff>
                  </from>
                  <to>
                    <xdr:col>43</xdr:col>
                    <xdr:colOff>355600</xdr:colOff>
                    <xdr:row>14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Check Box 6">
              <controlPr defaultSize="0" autoFill="0" autoLine="0" autoPict="0">
                <anchor moveWithCells="1">
                  <from>
                    <xdr:col>42</xdr:col>
                    <xdr:colOff>203200</xdr:colOff>
                    <xdr:row>14</xdr:row>
                    <xdr:rowOff>50800</xdr:rowOff>
                  </from>
                  <to>
                    <xdr:col>43</xdr:col>
                    <xdr:colOff>355600</xdr:colOff>
                    <xdr:row>15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Check Box 7">
              <controlPr defaultSize="0" autoFill="0" autoLine="0" autoPict="0">
                <anchor moveWithCells="1">
                  <from>
                    <xdr:col>41</xdr:col>
                    <xdr:colOff>1244600</xdr:colOff>
                    <xdr:row>12</xdr:row>
                    <xdr:rowOff>114300</xdr:rowOff>
                  </from>
                  <to>
                    <xdr:col>42</xdr:col>
                    <xdr:colOff>177800</xdr:colOff>
                    <xdr:row>13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0F1CECA-749A-4A93-9182-A5B1E65CD6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AB13:AB50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463A8CB-2F27-4302-A585-7BC4F4230809}">
          <x14:formula1>
            <xm:f>'Drop-down Data'!$C$8:$C$13</xm:f>
          </x14:formula1>
          <xm:sqref>AQ6:AR6</xm:sqref>
        </x14:dataValidation>
        <x14:dataValidation type="list" allowBlank="1" showInputMessage="1" showErrorMessage="1" xr:uid="{1F2AD0A7-B999-4850-B210-7873BF69B31C}">
          <x14:formula1>
            <xm:f>'Drop-down Data'!$E$8:$E$21</xm:f>
          </x14:formula1>
          <xm:sqref>AQ9:AR9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11AA4-9894-499C-B008-1A9D26A07997}">
  <sheetPr>
    <tabColor theme="5"/>
  </sheetPr>
  <dimension ref="A1:R102"/>
  <sheetViews>
    <sheetView showGridLines="0" topLeftCell="A64" zoomScale="126" workbookViewId="0">
      <selection activeCell="I13" sqref="I13"/>
    </sheetView>
  </sheetViews>
  <sheetFormatPr baseColWidth="10" defaultColWidth="8.83203125" defaultRowHeight="15" x14ac:dyDescent="0.2"/>
  <cols>
    <col min="1" max="1" width="3.6640625" customWidth="1"/>
    <col min="2" max="2" width="1.83203125" customWidth="1"/>
    <col min="3" max="3" width="1.1640625" customWidth="1"/>
    <col min="4" max="4" width="18.5" customWidth="1"/>
    <col min="5" max="5" width="19.1640625" customWidth="1"/>
    <col min="6" max="6" width="10.83203125" customWidth="1"/>
    <col min="7" max="7" width="9.5" style="64" customWidth="1"/>
    <col min="8" max="8" width="18.5" customWidth="1"/>
    <col min="9" max="9" width="27.1640625" style="64" customWidth="1"/>
    <col min="10" max="10" width="10.5" customWidth="1"/>
    <col min="11" max="11" width="9.83203125" style="64" customWidth="1"/>
    <col min="12" max="12" width="18.5" style="64" customWidth="1"/>
    <col min="13" max="13" width="16.1640625" style="64" bestFit="1" customWidth="1"/>
    <col min="14" max="14" width="11.5" customWidth="1"/>
    <col min="15" max="15" width="9.83203125" bestFit="1" customWidth="1"/>
    <col min="16" max="16" width="16.1640625" bestFit="1" customWidth="1"/>
    <col min="17" max="17" width="11.5" customWidth="1"/>
    <col min="18" max="18" width="9.83203125" bestFit="1" customWidth="1"/>
  </cols>
  <sheetData>
    <row r="1" spans="1:13" s="45" customFormat="1" x14ac:dyDescent="0.2">
      <c r="G1" s="95"/>
      <c r="I1" s="95"/>
      <c r="K1" s="95"/>
      <c r="L1" s="95"/>
      <c r="M1" s="95"/>
    </row>
    <row r="2" spans="1:13" s="45" customFormat="1" ht="37" x14ac:dyDescent="0.5">
      <c r="A2" s="143" t="s">
        <v>66</v>
      </c>
      <c r="G2" s="95"/>
      <c r="I2" s="95"/>
      <c r="K2" s="95"/>
      <c r="L2" s="95"/>
      <c r="M2" s="95"/>
    </row>
    <row r="3" spans="1:13" s="45" customFormat="1" x14ac:dyDescent="0.2">
      <c r="G3" s="95"/>
      <c r="I3" s="95"/>
      <c r="K3" s="95"/>
      <c r="L3" s="95"/>
      <c r="M3" s="95"/>
    </row>
    <row r="6" spans="1:13" x14ac:dyDescent="0.2">
      <c r="C6" s="144" t="s">
        <v>67</v>
      </c>
      <c r="D6" s="144"/>
      <c r="E6" s="144"/>
      <c r="F6" s="83"/>
    </row>
    <row r="8" spans="1:13" x14ac:dyDescent="0.2">
      <c r="D8" s="52" t="s">
        <v>68</v>
      </c>
      <c r="E8" s="116" cm="1">
        <f t="array" aca="1" ref="E8" ca="1">current_date</f>
        <v>46119</v>
      </c>
      <c r="G8" s="96"/>
      <c r="I8" s="100"/>
    </row>
    <row r="9" spans="1:13" x14ac:dyDescent="0.2">
      <c r="D9" s="52" t="s">
        <v>69</v>
      </c>
      <c r="E9" s="116">
        <f>MAX(Tracking[Date])</f>
        <v>46030</v>
      </c>
    </row>
    <row r="10" spans="1:13" x14ac:dyDescent="0.2">
      <c r="D10" s="52" t="s">
        <v>70</v>
      </c>
      <c r="E10" s="23" t="str">
        <f ca="1">IF(E9=0,"","("&amp; _xlfn.DAYS(E8,E9)&amp;" days ago)")</f>
        <v>(89 days ago)</v>
      </c>
    </row>
    <row r="11" spans="1:13" x14ac:dyDescent="0.2">
      <c r="D11" s="52" t="s">
        <v>71</v>
      </c>
      <c r="E11" s="23">
        <f>COUNT(Tracking[Date])</f>
        <v>5</v>
      </c>
    </row>
    <row r="12" spans="1:13" x14ac:dyDescent="0.2">
      <c r="D12" s="52" t="s">
        <v>72</v>
      </c>
      <c r="E12" s="23" t="str" cm="1">
        <f t="array" aca="1" ref="E12" ca="1">"(" &amp; SUMPRODUCT(--(YEAR(Tracking[Date])=YEAR(current_date))) &amp; " this year)"</f>
        <v>(5 this year)</v>
      </c>
    </row>
    <row r="13" spans="1:13" x14ac:dyDescent="0.2">
      <c r="D13" s="52" t="s">
        <v>73</v>
      </c>
      <c r="E13" s="53">
        <f>_xlfn.IFNA(INDEX(Tracking[Balance],MATCH(Calculations!E9,Tracking[Date],0)), "-")</f>
        <v>18750.78</v>
      </c>
    </row>
    <row r="14" spans="1:13" x14ac:dyDescent="0.2">
      <c r="D14" s="52" t="s">
        <v>74</v>
      </c>
      <c r="E14" s="23" t="str">
        <f>IF(E13&gt;=0,"tracked income to be allocated","allocated not allocated by income")</f>
        <v>tracked income to be allocated</v>
      </c>
    </row>
    <row r="16" spans="1:13" x14ac:dyDescent="0.2">
      <c r="D16" s="145" t="s">
        <v>75</v>
      </c>
      <c r="E16" s="145"/>
    </row>
    <row r="17" spans="4:14" x14ac:dyDescent="0.2">
      <c r="D17" s="23"/>
      <c r="E17" s="23"/>
    </row>
    <row r="18" spans="4:14" x14ac:dyDescent="0.2">
      <c r="D18" s="52" t="s">
        <v>76</v>
      </c>
      <c r="E18" s="23" cm="1">
        <f t="array" ref="E18">IF('Budget Dashboard'!$AQ$6="Current Year",YEAR(current_date),'Budget Dashboard'!$AQ$6)</f>
        <v>2026</v>
      </c>
    </row>
    <row r="19" spans="4:14" x14ac:dyDescent="0.2">
      <c r="D19" s="55" t="s">
        <v>77</v>
      </c>
      <c r="E19" s="56" cm="1">
        <f t="array" ref="E19">IF('Budget Dashboard'!$AQ$9="Total Year","Total Year",
 IF('Budget Dashboard'!$AQ$9="Current Month", MONTH(current_date),
 MONTH('Budget Dashboard'!$AQ$9)))</f>
        <v>1</v>
      </c>
    </row>
    <row r="20" spans="4:14" x14ac:dyDescent="0.2">
      <c r="D20" s="52" t="s">
        <v>78</v>
      </c>
      <c r="E20" s="57" t="str">
        <f>IF(selected_period="Total Year","Total Year",
 TEXT(DATE(selected_year,selected_period,1),"mmmm"))</f>
        <v>January</v>
      </c>
    </row>
    <row r="21" spans="4:14" x14ac:dyDescent="0.2">
      <c r="D21" s="52" t="s">
        <v>79</v>
      </c>
      <c r="E21" s="23">
        <f>IF(selected_period="Total Year",DATE(selected_year,12,31) - DATE(selected_year-1,12,31),DAY(EOMONTH(DATE(selected_year,selected_period,1),0)))</f>
        <v>31</v>
      </c>
    </row>
    <row r="22" spans="4:14" x14ac:dyDescent="0.2">
      <c r="D22" s="52" t="s">
        <v>80</v>
      </c>
      <c r="E22" s="23" cm="1">
        <f t="array" aca="1" ref="E22" ca="1">IF(selected_year=YEAR(current_date),
   IF(selected_period="Total Year",current_date-DATE(selected_year-1,12,31),
     IF(selected_period=MONTH(current_date),DAY(current_date),
       IF(selected_period&lt;MONTH(current_date),E21,0))),
IF(selected_year&lt;YEAR(current_date),E21,0))</f>
        <v>31</v>
      </c>
    </row>
    <row r="23" spans="4:14" x14ac:dyDescent="0.2">
      <c r="D23" s="52" t="s">
        <v>81</v>
      </c>
      <c r="E23" s="114">
        <f ca="1">E22/E21</f>
        <v>1</v>
      </c>
    </row>
    <row r="24" spans="4:14" x14ac:dyDescent="0.2">
      <c r="D24" s="52" t="s">
        <v>82</v>
      </c>
      <c r="E24" s="115">
        <f ca="1">F41-(J41+N41)</f>
        <v>0</v>
      </c>
    </row>
    <row r="25" spans="4:14" x14ac:dyDescent="0.2">
      <c r="D25" s="52" t="s">
        <v>74</v>
      </c>
      <c r="E25" s="23" t="str">
        <f ca="1">IF(E24&gt;=0,"tracked income to be allocated","allocated not allocated by income")</f>
        <v>tracked income to be allocated</v>
      </c>
    </row>
    <row r="26" spans="4:14" x14ac:dyDescent="0.2">
      <c r="D26" s="52" t="s">
        <v>83</v>
      </c>
      <c r="E26" s="113" t="str">
        <f ca="1">IFERROR(IF(savings_rate_calculation_type="% allocated to Savings",N41/F41,(F41-J41)/F41),"-")</f>
        <v>-</v>
      </c>
    </row>
    <row r="32" spans="4:14" x14ac:dyDescent="0.2">
      <c r="D32" s="146" t="s">
        <v>119</v>
      </c>
      <c r="E32" s="78"/>
      <c r="F32" s="78"/>
      <c r="G32" s="97"/>
      <c r="H32" s="78"/>
      <c r="I32" s="97"/>
      <c r="J32" s="78"/>
      <c r="K32" s="97"/>
      <c r="L32" s="97"/>
      <c r="M32" s="97"/>
      <c r="N32" s="78"/>
    </row>
    <row r="34" spans="4:14" x14ac:dyDescent="0.2">
      <c r="D34" s="79" t="s">
        <v>15</v>
      </c>
      <c r="E34" s="79" t="s">
        <v>34</v>
      </c>
      <c r="F34" s="79" t="s">
        <v>35</v>
      </c>
      <c r="G34" s="94"/>
      <c r="H34" s="79" t="s">
        <v>19</v>
      </c>
      <c r="I34" s="98" t="s">
        <v>34</v>
      </c>
      <c r="J34" s="79" t="s">
        <v>35</v>
      </c>
      <c r="K34" s="94"/>
      <c r="L34" s="98" t="s">
        <v>19</v>
      </c>
      <c r="M34" s="98" t="s">
        <v>34</v>
      </c>
      <c r="N34" s="79" t="s">
        <v>35</v>
      </c>
    </row>
    <row r="35" spans="4:14" x14ac:dyDescent="0.2">
      <c r="D35" s="80">
        <v>1</v>
      </c>
      <c r="E35" s="80" t="str" cm="1">
        <f t="array" aca="1" ref="E35" ca="1">IF(F35="","",INDEX('Budget Dashboard'!$J:$J,MATCH(income_header_row + Calculations!D35,'Budget Dashboard'!$X:$X,0)))</f>
        <v/>
      </c>
      <c r="F35" s="84" t="str" cm="1">
        <f t="array" aca="1" ref="F35" ca="1">IF(D35&gt;COUNTA(Income[]),"",
   IF(INDEX('Budget Dashboard'!$K:$K,MATCH(income_header_row + Calculations!D35,'Budget Dashboard'!$X:$X,0))=0,"",
        INDEX('Budget Dashboard'!$K:$K,MATCH(income_header_row + Calculations!D35,'Budget Dashboard'!$X:$X,0))))</f>
        <v/>
      </c>
      <c r="H35" s="80">
        <v>1</v>
      </c>
      <c r="I35" s="64" t="str" cm="1">
        <f t="array" aca="1" ref="I35" ca="1">IF(J35="","",INDEX('Budget Dashboard'!$J:$J,MATCH(expenses_header_row + Calculations!H35,'Budget Dashboard'!$X:$X,0)))</f>
        <v/>
      </c>
      <c r="J35" s="84" t="str" cm="1">
        <f t="array" aca="1" ref="J35" ca="1">IF(H35&gt;COUNTA(Expenses[]),"",
   IF(INDEX('Budget Dashboard'!$K:$K,MATCH(expenses_header_row + Calculations!H35,'Budget Dashboard'!$X:$X,0))=0,"",
        INDEX('Budget Dashboard'!$K:$K,MATCH(expenses_header_row + Calculations!H35,'Budget Dashboard'!$X:$X,0))))</f>
        <v/>
      </c>
      <c r="L35" s="64">
        <v>1</v>
      </c>
      <c r="M35" s="64" t="str" cm="1">
        <f t="array" aca="1" ref="M35" ca="1">IF(N35="","",INDEX('Budget Dashboard'!$J:$J,MATCH(savings_header_row + Calculations!L35,'Budget Dashboard'!$X:$X,0)))</f>
        <v/>
      </c>
      <c r="N35" s="84" t="str" cm="1">
        <f t="array" aca="1" ref="N35" ca="1">IF(L35&gt;COUNTA(Savings[]),"",
   IF(INDEX('Budget Dashboard'!$K:$K,MATCH(savings_header_row + Calculations!L35,'Budget Dashboard'!$X:$X,0))=0,"",
        INDEX('Budget Dashboard'!$K:$K,MATCH(savings_header_row + Calculations!L35,'Budget Dashboard'!$X:$X,0))))</f>
        <v/>
      </c>
    </row>
    <row r="36" spans="4:14" x14ac:dyDescent="0.2">
      <c r="D36" s="80">
        <v>2</v>
      </c>
      <c r="E36" s="80" t="str" cm="1">
        <f t="array" ref="E36">IF(F36="","",INDEX('Budget Dashboard'!$J:$J,MATCH(income_header_row + Calculations!D36,'Budget Dashboard'!$X:$X,0)))</f>
        <v/>
      </c>
      <c r="F36" s="84" t="str" cm="1">
        <f t="array" ref="F36">IF(D36&gt;COUNTA(Income[]),"",
   IF(INDEX('Budget Dashboard'!$K:$K,MATCH(income_header_row + Calculations!D36,'Budget Dashboard'!$X:$X,0))=0,"",
        INDEX('Budget Dashboard'!$K:$K,MATCH(income_header_row + Calculations!D36,'Budget Dashboard'!$X:$X,0))))</f>
        <v/>
      </c>
      <c r="H36" s="80">
        <v>2</v>
      </c>
      <c r="I36" s="64" t="str" cm="1">
        <f t="array" aca="1" ref="I36" ca="1">IF(J36="","",INDEX('Budget Dashboard'!$J:$J,MATCH(expenses_header_row + Calculations!H36,'Budget Dashboard'!$X:$X,0)))</f>
        <v/>
      </c>
      <c r="J36" s="84" t="str" cm="1">
        <f t="array" aca="1" ref="J36" ca="1">IF(H36&gt;COUNTA(Expenses[]),"",
   IF(INDEX('Budget Dashboard'!$K:$K,MATCH(expenses_header_row + Calculations!H36,'Budget Dashboard'!$X:$X,0))=0,"",
        INDEX('Budget Dashboard'!$K:$K,MATCH(expenses_header_row + Calculations!H36,'Budget Dashboard'!$X:$X,0))))</f>
        <v/>
      </c>
      <c r="L36" s="64">
        <v>2</v>
      </c>
      <c r="M36" s="64" t="str" cm="1">
        <f t="array" ref="M36">IF(N36="","",INDEX('Budget Dashboard'!$J:$J,MATCH(savings_header_row + Calculations!L36,'Budget Dashboard'!$X:$X,0)))</f>
        <v/>
      </c>
      <c r="N36" s="84" t="str" cm="1">
        <f t="array" ref="N36">IF(L36&gt;COUNTA(Savings[]),"",
   IF(INDEX('Budget Dashboard'!$K:$K,MATCH(savings_header_row + Calculations!L36,'Budget Dashboard'!$X:$X,0))=0,"",
        INDEX('Budget Dashboard'!$K:$K,MATCH(savings_header_row + Calculations!L36,'Budget Dashboard'!$X:$X,0))))</f>
        <v/>
      </c>
    </row>
    <row r="37" spans="4:14" x14ac:dyDescent="0.2">
      <c r="D37" s="80">
        <v>3</v>
      </c>
      <c r="E37" s="80" t="str" cm="1">
        <f t="array" ref="E37">IF(F37="","",INDEX('Budget Dashboard'!$J:$J,MATCH(income_header_row + Calculations!D37,'Budget Dashboard'!$X:$X,0)))</f>
        <v/>
      </c>
      <c r="F37" s="84" t="str" cm="1">
        <f t="array" ref="F37">IF(D37&gt;COUNTA(Income[]),"",
   IF(INDEX('Budget Dashboard'!$K:$K,MATCH(income_header_row + Calculations!D37,'Budget Dashboard'!$X:$X,0))=0,"",
        INDEX('Budget Dashboard'!$K:$K,MATCH(income_header_row + Calculations!D37,'Budget Dashboard'!$X:$X,0))))</f>
        <v/>
      </c>
      <c r="H37" s="80">
        <v>3</v>
      </c>
      <c r="I37" s="64" t="str" cm="1">
        <f t="array" aca="1" ref="I37" ca="1">IF(J37="","",INDEX('Budget Dashboard'!$J:$J,MATCH(expenses_header_row + Calculations!H37,'Budget Dashboard'!$X:$X,0)))</f>
        <v/>
      </c>
      <c r="J37" s="84" t="str" cm="1">
        <f t="array" aca="1" ref="J37" ca="1">IF(H37&gt;COUNTA(Expenses[]),"",
   IF(INDEX('Budget Dashboard'!$K:$K,MATCH(expenses_header_row + Calculations!H37,'Budget Dashboard'!$X:$X,0))=0,"",
        INDEX('Budget Dashboard'!$K:$K,MATCH(expenses_header_row + Calculations!H37,'Budget Dashboard'!$X:$X,0))))</f>
        <v/>
      </c>
      <c r="L37" s="64">
        <v>3</v>
      </c>
      <c r="M37" s="64" t="str" cm="1">
        <f t="array" ref="M37">IF(N37="","",INDEX('Budget Dashboard'!$J:$J,MATCH(savings_header_row + Calculations!L37,'Budget Dashboard'!$X:$X,0)))</f>
        <v/>
      </c>
      <c r="N37" s="84" t="str" cm="1">
        <f t="array" ref="N37">IF(L37&gt;COUNTA(Savings[]),"",
   IF(INDEX('Budget Dashboard'!$K:$K,MATCH(savings_header_row + Calculations!L37,'Budget Dashboard'!$X:$X,0))=0,"",
        INDEX('Budget Dashboard'!$K:$K,MATCH(savings_header_row + Calculations!L37,'Budget Dashboard'!$X:$X,0))))</f>
        <v/>
      </c>
    </row>
    <row r="38" spans="4:14" x14ac:dyDescent="0.2">
      <c r="D38" s="80">
        <v>4</v>
      </c>
      <c r="E38" s="80" t="str" cm="1">
        <f t="array" ref="E38">IF(F38="","",INDEX('Budget Dashboard'!$J:$J,MATCH(income_header_row + Calculations!D38,'Budget Dashboard'!$X:$X,0)))</f>
        <v/>
      </c>
      <c r="F38" s="84" t="str" cm="1">
        <f t="array" ref="F38">IF(D38&gt;COUNTA(Income[]),"",
   IF(INDEX('Budget Dashboard'!$K:$K,MATCH(income_header_row + Calculations!D38,'Budget Dashboard'!$X:$X,0))=0,"",
        INDEX('Budget Dashboard'!$K:$K,MATCH(income_header_row + Calculations!D38,'Budget Dashboard'!$X:$X,0))))</f>
        <v/>
      </c>
      <c r="H38" s="80">
        <v>4</v>
      </c>
      <c r="I38" s="64" t="str" cm="1">
        <f t="array" aca="1" ref="I38" ca="1">IF(J38="","",INDEX('Budget Dashboard'!$J:$J,MATCH(expenses_header_row + Calculations!H38,'Budget Dashboard'!$X:$X,0)))</f>
        <v/>
      </c>
      <c r="J38" s="84" t="str" cm="1">
        <f t="array" aca="1" ref="J38" ca="1">IF(H38&gt;COUNTA(Expenses[]),"",
   IF(INDEX('Budget Dashboard'!$K:$K,MATCH(expenses_header_row + Calculations!H38,'Budget Dashboard'!$X:$X,0))=0,"",
        INDEX('Budget Dashboard'!$K:$K,MATCH(expenses_header_row + Calculations!H38,'Budget Dashboard'!$X:$X,0))))</f>
        <v/>
      </c>
      <c r="L38" s="64">
        <v>4</v>
      </c>
      <c r="M38" s="64" t="str" cm="1">
        <f t="array" ref="M38">IF(N38="","",INDEX('Budget Dashboard'!$J:$J,MATCH(savings_header_row + Calculations!L38,'Budget Dashboard'!$X:$X,0)))</f>
        <v/>
      </c>
      <c r="N38" s="84" t="str" cm="1">
        <f t="array" ref="N38">IF(L38&gt;COUNTA(Savings[]),"",
   IF(INDEX('Budget Dashboard'!$K:$K,MATCH(savings_header_row + Calculations!L38,'Budget Dashboard'!$X:$X,0))=0,"",
        INDEX('Budget Dashboard'!$K:$K,MATCH(savings_header_row + Calculations!L38,'Budget Dashboard'!$X:$X,0))))</f>
        <v/>
      </c>
    </row>
    <row r="39" spans="4:14" x14ac:dyDescent="0.2">
      <c r="D39" s="80">
        <v>5</v>
      </c>
      <c r="E39" s="80" t="str" cm="1">
        <f t="array" ref="E39">IF(F39="","",INDEX('Budget Dashboard'!$J:$J,MATCH(income_header_row + Calculations!D39,'Budget Dashboard'!$X:$X,0)))</f>
        <v/>
      </c>
      <c r="F39" s="84" t="str" cm="1">
        <f t="array" ref="F39">IF(D39&gt;COUNTA(Income[]),"",
   IF(INDEX('Budget Dashboard'!$K:$K,MATCH(income_header_row + Calculations!D39,'Budget Dashboard'!$X:$X,0))=0,"",
        INDEX('Budget Dashboard'!$K:$K,MATCH(income_header_row + Calculations!D39,'Budget Dashboard'!$X:$X,0))))</f>
        <v/>
      </c>
      <c r="H39" s="80">
        <v>5</v>
      </c>
      <c r="I39" s="64" t="str" cm="1">
        <f t="array" aca="1" ref="I39" ca="1">IF(J39="","",INDEX('Budget Dashboard'!$J:$J,MATCH(expenses_header_row + Calculations!H39,'Budget Dashboard'!$X:$X,0)))</f>
        <v/>
      </c>
      <c r="J39" s="84" t="str" cm="1">
        <f t="array" aca="1" ref="J39" ca="1">IF(H39&gt;COUNTA(Expenses[]),"",
   IF(INDEX('Budget Dashboard'!$K:$K,MATCH(expenses_header_row + Calculations!H39,'Budget Dashboard'!$X:$X,0))=0,"",
        INDEX('Budget Dashboard'!$K:$K,MATCH(expenses_header_row + Calculations!H39,'Budget Dashboard'!$X:$X,0))))</f>
        <v/>
      </c>
      <c r="L39" s="64">
        <v>5</v>
      </c>
      <c r="M39" s="64" t="str" cm="1">
        <f t="array" ref="M39">IF(N39="","",INDEX('Budget Dashboard'!$J:$J,MATCH(savings_header_row + Calculations!L39,'Budget Dashboard'!$X:$X,0)))</f>
        <v/>
      </c>
      <c r="N39" s="84" t="str" cm="1">
        <f t="array" ref="N39">IF(L39&gt;COUNTA(Savings[]),"",
   IF(INDEX('Budget Dashboard'!$K:$K,MATCH(savings_header_row + Calculations!L39,'Budget Dashboard'!$X:$X,0))=0,"",
        INDEX('Budget Dashboard'!$K:$K,MATCH(savings_header_row + Calculations!L39,'Budget Dashboard'!$X:$X,0))))</f>
        <v/>
      </c>
    </row>
    <row r="40" spans="4:14" ht="16" thickBot="1" x14ac:dyDescent="0.25">
      <c r="D40" s="81">
        <v>6</v>
      </c>
      <c r="E40" s="81" t="str">
        <f ca="1">IF(F40="","","Other")</f>
        <v/>
      </c>
      <c r="F40" s="85" t="str">
        <f ca="1">IF(F41-SUM(F35:F39)=0,"",F41-SUM(F35:F39))</f>
        <v/>
      </c>
      <c r="H40" s="81">
        <v>6</v>
      </c>
      <c r="I40" s="99" t="str">
        <f ca="1">IF(J40="","","Other")</f>
        <v/>
      </c>
      <c r="J40" s="85" t="str">
        <f ca="1">IF(J41-SUM(J35:J39)=0,"",J41-SUM(J35:J39))</f>
        <v/>
      </c>
      <c r="L40" s="99">
        <v>6</v>
      </c>
      <c r="M40" s="99" t="str">
        <f ca="1">IF(N40="","","Other")</f>
        <v/>
      </c>
      <c r="N40" s="85" t="str">
        <f ca="1">IF(N41-SUM(N35:N39)=0,"",N41-SUM(N35:N39))</f>
        <v/>
      </c>
    </row>
    <row r="41" spans="4:14" ht="16" thickTop="1" x14ac:dyDescent="0.2">
      <c r="D41" s="80"/>
      <c r="E41" s="82" t="s">
        <v>18</v>
      </c>
      <c r="F41" s="86" cm="1">
        <f t="array" aca="1" ref="F41" ca="1">INDEX('Budget Dashboard'!$K:$K,MATCH(income_total_row,'Budget Dashboard'!$X:$X,0))</f>
        <v>0</v>
      </c>
      <c r="G41" s="94"/>
      <c r="H41" s="80"/>
      <c r="I41" s="94" t="s">
        <v>18</v>
      </c>
      <c r="J41" s="86" cm="1">
        <f t="array" aca="1" ref="J41" ca="1">INDEX('Budget Dashboard'!$K:$K,MATCH(expenses_total_row,'Budget Dashboard'!$X:$X,0))</f>
        <v>0</v>
      </c>
      <c r="K41" s="94"/>
      <c r="M41" s="94" t="s">
        <v>18</v>
      </c>
      <c r="N41" s="86" cm="1">
        <f t="array" aca="1" ref="N41" ca="1">INDEX('Budget Dashboard'!$K:$K,MATCH(savings_total_row,'Budget Dashboard'!$X:$X,0))</f>
        <v>0</v>
      </c>
    </row>
    <row r="47" spans="4:14" x14ac:dyDescent="0.2">
      <c r="D47" s="146" t="s">
        <v>118</v>
      </c>
      <c r="E47" s="78"/>
      <c r="F47" s="78"/>
      <c r="G47" s="97"/>
      <c r="H47" s="78"/>
      <c r="I47" s="97"/>
      <c r="J47" s="78"/>
      <c r="K47" s="97"/>
      <c r="L47" s="97"/>
      <c r="M47" s="97"/>
      <c r="N47" s="78"/>
    </row>
    <row r="49" spans="3:18" x14ac:dyDescent="0.2">
      <c r="D49" t="s">
        <v>84</v>
      </c>
      <c r="E49" s="106" t="b">
        <v>1</v>
      </c>
    </row>
    <row r="50" spans="3:18" x14ac:dyDescent="0.2">
      <c r="D50" t="s">
        <v>85</v>
      </c>
      <c r="E50" s="106" t="b">
        <v>1</v>
      </c>
    </row>
    <row r="51" spans="3:18" x14ac:dyDescent="0.2">
      <c r="D51" t="s">
        <v>86</v>
      </c>
      <c r="E51" s="106" t="b">
        <v>1</v>
      </c>
    </row>
    <row r="52" spans="3:18" x14ac:dyDescent="0.2">
      <c r="D52" t="s">
        <v>87</v>
      </c>
      <c r="E52" s="106" t="b">
        <v>1</v>
      </c>
      <c r="F52" s="64"/>
    </row>
    <row r="53" spans="3:18" x14ac:dyDescent="0.2">
      <c r="M53" s="132" t="s">
        <v>88</v>
      </c>
      <c r="N53" s="132"/>
      <c r="O53" s="132"/>
      <c r="P53" s="130" t="s">
        <v>89</v>
      </c>
      <c r="Q53" s="130"/>
      <c r="R53" s="130"/>
    </row>
    <row r="54" spans="3:18" s="64" customFormat="1" x14ac:dyDescent="0.2">
      <c r="C54" s="101"/>
      <c r="D54" s="102" t="s">
        <v>90</v>
      </c>
      <c r="E54" s="102" t="s">
        <v>33</v>
      </c>
      <c r="F54" s="102" t="s">
        <v>91</v>
      </c>
      <c r="G54" s="102" t="s">
        <v>92</v>
      </c>
      <c r="H54" s="102" t="s">
        <v>93</v>
      </c>
      <c r="I54" s="102" t="s">
        <v>94</v>
      </c>
      <c r="J54" s="102" t="s">
        <v>95</v>
      </c>
      <c r="K54" s="102" t="s">
        <v>96</v>
      </c>
      <c r="L54" s="102" t="s">
        <v>97</v>
      </c>
      <c r="M54" s="102" t="s">
        <v>98</v>
      </c>
      <c r="N54" s="102" t="s">
        <v>99</v>
      </c>
      <c r="O54" s="102" t="s">
        <v>100</v>
      </c>
      <c r="P54" s="102" t="s">
        <v>98</v>
      </c>
      <c r="Q54" s="102" t="s">
        <v>99</v>
      </c>
      <c r="R54" s="102" t="s">
        <v>100</v>
      </c>
    </row>
    <row r="55" spans="3:18" x14ac:dyDescent="0.2">
      <c r="D55" s="128">
        <f>DATE(selected_year,1,1)</f>
        <v>46023</v>
      </c>
      <c r="E55" t="s">
        <v>15</v>
      </c>
      <c r="F55" s="64">
        <f>MONTH(D55)</f>
        <v>1</v>
      </c>
      <c r="G55" s="64">
        <f>IF(selected_period="Total Year",1,IF(selected_period=cc_month_number,1,0))</f>
        <v>1</v>
      </c>
      <c r="H55" s="64">
        <f>1*$E$49</f>
        <v>1</v>
      </c>
      <c r="I55" s="64">
        <f>1*$E$52</f>
        <v>1</v>
      </c>
      <c r="J55" s="107" cm="1">
        <f t="array" ref="J55">SUM(Tracking[Amount]*(Tracking[Type]=cc_type)*(YEAR(Tracking[Effective Date])=selected_year)*(MONTH(Tracking[Effective Date])=cc_month_number))</f>
        <v>0</v>
      </c>
      <c r="K55" s="108" cm="1">
        <f t="array" aca="1" ref="K55" ca="1">INDEX('Budget Planning'!$E:$BU,income_total_row,MATCH(DATE(selected_year,cc_month_number,1),'Budget Planning'!$E$9:$BU$9,0))</f>
        <v>0</v>
      </c>
      <c r="L55" s="108">
        <f ca="1">cc_budget-cc_tracked</f>
        <v>0</v>
      </c>
      <c r="M55" s="105">
        <f ca="1">cc_in_focus*cc_show_type*MIN(cc_tracked,cc_budget)</f>
        <v>0</v>
      </c>
      <c r="N55" s="105">
        <f ca="1">cc_in_focus*cc_show_type*cc_show_remaining_budget*IF(cc_delta&gt;0,cc_delta,0)</f>
        <v>0</v>
      </c>
      <c r="O55" s="105">
        <f ca="1">cc_in_focus*cc_show_type*IF(cc_delta&lt;0,ABS(cc_delta),0)</f>
        <v>0</v>
      </c>
      <c r="P55" s="105">
        <f ca="1">NOT(cc_in_focus)*cc_show_type*MIN(cc_tracked,cc_budget)</f>
        <v>0</v>
      </c>
      <c r="Q55" s="105">
        <f ca="1">NOT(cc_in_focus)*cc_show_type*cc_show_remaining_budget*IF(cc_delta&gt;0,cc_delta,0)</f>
        <v>0</v>
      </c>
      <c r="R55" s="105">
        <f ca="1">NOT(cc_in_focus)*cc_show_type*IF(cc_delta&lt;0,ABS(cc_delta),0)</f>
        <v>0</v>
      </c>
    </row>
    <row r="56" spans="3:18" x14ac:dyDescent="0.2">
      <c r="D56" s="128"/>
      <c r="E56" t="s">
        <v>19</v>
      </c>
      <c r="F56" s="64">
        <f>MONTH(D55)</f>
        <v>1</v>
      </c>
      <c r="G56" s="64">
        <f>IF(selected_period="Total Year",1,IF(selected_period=cc_month_number,1,0))</f>
        <v>1</v>
      </c>
      <c r="H56" s="64">
        <f>1*$E$50</f>
        <v>1</v>
      </c>
      <c r="I56" s="64">
        <f t="shared" ref="I56:I57" si="0">1*$E$52</f>
        <v>1</v>
      </c>
      <c r="J56" s="107" cm="1">
        <f t="array" ref="J56">SUM(Tracking[Amount]*(Tracking[Type]=cc_type)*(YEAR(Tracking[Effective Date])=selected_year)*(MONTH(Tracking[Effective Date])=cc_month_number))</f>
        <v>0</v>
      </c>
      <c r="K56" s="108" cm="1">
        <f t="array" aca="1" ref="K56" ca="1">INDEX('Budget Planning'!$E:$BU,expenses_total_row,MATCH(DATE(selected_year,cc_month_number,1),'Budget Planning'!$E$9:$BU$9,0))</f>
        <v>0</v>
      </c>
      <c r="L56" s="108">
        <f ca="1">cc_budget-cc_tracked</f>
        <v>0</v>
      </c>
      <c r="M56" s="105">
        <f ca="1">cc_in_focus*cc_show_type*MIN(cc_tracked,cc_budget)</f>
        <v>0</v>
      </c>
      <c r="N56" s="105">
        <f ca="1">cc_in_focus*cc_show_type*cc_show_remaining_budget*IF(cc_delta&gt;0,cc_delta,0)</f>
        <v>0</v>
      </c>
      <c r="O56" s="105">
        <f ca="1">cc_in_focus*cc_show_type*IF(cc_delta&lt;0,ABS(cc_delta),0)</f>
        <v>0</v>
      </c>
      <c r="P56" s="105">
        <f ca="1">NOT(cc_in_focus)*cc_show_type*MIN(cc_tracked,cc_budget)</f>
        <v>0</v>
      </c>
      <c r="Q56" s="105">
        <f ca="1">NOT(cc_in_focus)*cc_show_type*cc_show_remaining_budget*IF(cc_delta&gt;0,cc_delta,0)</f>
        <v>0</v>
      </c>
      <c r="R56" s="105">
        <f ca="1">NOT(cc_in_focus)*cc_show_type*IF(cc_delta&lt;0,ABS(cc_delta),0)</f>
        <v>0</v>
      </c>
    </row>
    <row r="57" spans="3:18" x14ac:dyDescent="0.2">
      <c r="D57" s="128"/>
      <c r="E57" t="s">
        <v>27</v>
      </c>
      <c r="F57" s="64">
        <f>MONTH(D55)</f>
        <v>1</v>
      </c>
      <c r="G57" s="64">
        <f>IF(selected_period="Total Year",1,IF(selected_period=cc_month_number,1,0))</f>
        <v>1</v>
      </c>
      <c r="H57" s="64">
        <f>1*$E$51</f>
        <v>1</v>
      </c>
      <c r="I57" s="64">
        <f t="shared" si="0"/>
        <v>1</v>
      </c>
      <c r="J57" s="107" cm="1">
        <f t="array" ref="J57">SUM(Tracking[Amount]*(Tracking[Type]=cc_type)*(YEAR(Tracking[Effective Date])=selected_year)*(MONTH(Tracking[Effective Date])=cc_month_number))</f>
        <v>0</v>
      </c>
      <c r="K57" s="108" cm="1">
        <f t="array" aca="1" ref="K57" ca="1">INDEX('Budget Planning'!$E:$BU,savings_total_row,MATCH(DATE(selected_year,cc_month_number,1),'Budget Planning'!$E$9:$BU$9,0))</f>
        <v>0</v>
      </c>
      <c r="L57" s="108">
        <f ca="1">cc_budget-cc_tracked</f>
        <v>0</v>
      </c>
      <c r="M57" s="105">
        <f ca="1">cc_in_focus*cc_show_type*MIN(cc_tracked,cc_budget)</f>
        <v>0</v>
      </c>
      <c r="N57" s="105">
        <f ca="1">cc_in_focus*cc_show_type*cc_show_remaining_budget*IF(cc_delta&gt;0,cc_delta,0)</f>
        <v>0</v>
      </c>
      <c r="O57" s="105">
        <f ca="1">cc_in_focus*cc_show_type*IF(cc_delta&lt;0,ABS(cc_delta),0)</f>
        <v>0</v>
      </c>
      <c r="P57" s="105">
        <f ca="1">NOT(cc_in_focus)*cc_show_type*MIN(cc_tracked,cc_budget)</f>
        <v>0</v>
      </c>
      <c r="Q57" s="105">
        <f ca="1">NOT(cc_in_focus)*cc_show_type*cc_show_remaining_budget*IF(cc_delta&gt;0,cc_delta,0)</f>
        <v>0</v>
      </c>
      <c r="R57" s="105">
        <f ca="1">NOT(cc_in_focus)*cc_show_type*IF(cc_delta&lt;0,ABS(cc_delta),0)</f>
        <v>0</v>
      </c>
    </row>
    <row r="58" spans="3:18" x14ac:dyDescent="0.2">
      <c r="D58" s="129"/>
      <c r="E58" s="1"/>
      <c r="F58" s="1"/>
      <c r="G58" s="104"/>
      <c r="H58" s="104"/>
      <c r="I58" s="104"/>
      <c r="J58" s="109"/>
      <c r="K58" s="110"/>
      <c r="L58" s="110"/>
      <c r="M58" s="104"/>
      <c r="N58" s="1"/>
      <c r="O58" s="1"/>
      <c r="P58" s="1"/>
      <c r="Q58" s="1"/>
      <c r="R58" s="1"/>
    </row>
    <row r="59" spans="3:18" x14ac:dyDescent="0.2">
      <c r="D59" s="127">
        <f>DATE(selected_year,2,1)</f>
        <v>46054</v>
      </c>
      <c r="E59" s="103" t="s">
        <v>15</v>
      </c>
      <c r="F59" s="64">
        <f t="shared" ref="F59" si="1">MONTH(D59)</f>
        <v>2</v>
      </c>
      <c r="G59" s="64">
        <f>IF(selected_period="Total Year",1,IF(selected_period=cc_month_number,1,0))</f>
        <v>0</v>
      </c>
      <c r="H59" s="64">
        <f t="shared" ref="H59" si="2">1*$E$49</f>
        <v>1</v>
      </c>
      <c r="I59" s="64">
        <f t="shared" ref="I59:I101" si="3">1*$E$52</f>
        <v>1</v>
      </c>
      <c r="J59" s="107" cm="1">
        <f t="array" ref="J59">SUM(Tracking[Amount]*(Tracking[Type]=cc_type)*(YEAR(Tracking[Effective Date])=selected_year)*(MONTH(Tracking[Effective Date])=cc_month_number))</f>
        <v>0</v>
      </c>
      <c r="K59" s="108" cm="1">
        <f t="array" aca="1" ref="K59" ca="1">INDEX('Budget Planning'!$E:$BU,income_total_row,MATCH(DATE(selected_year,cc_month_number,1),'Budget Planning'!$E$9:$BU$9,0))</f>
        <v>0</v>
      </c>
      <c r="L59" s="108">
        <f ca="1">cc_budget-cc_tracked</f>
        <v>0</v>
      </c>
      <c r="M59" s="105">
        <f ca="1">cc_in_focus*cc_show_type*MIN(cc_tracked,cc_budget)</f>
        <v>0</v>
      </c>
      <c r="N59" s="105">
        <f ca="1">cc_in_focus*cc_show_type*cc_show_remaining_budget*IF(cc_delta&gt;0,cc_delta,0)</f>
        <v>0</v>
      </c>
      <c r="O59" s="105">
        <f ca="1">cc_in_focus*cc_show_type*IF(cc_delta&lt;0,ABS(cc_delta),0)</f>
        <v>0</v>
      </c>
      <c r="P59" s="105">
        <f ca="1">NOT(cc_in_focus)*cc_show_type*MIN(cc_tracked,cc_budget)</f>
        <v>0</v>
      </c>
      <c r="Q59" s="105">
        <f ca="1">NOT(cc_in_focus)*cc_show_type*cc_show_remaining_budget*IF(cc_delta&gt;0,cc_delta,0)</f>
        <v>0</v>
      </c>
      <c r="R59" s="105">
        <f ca="1">NOT(cc_in_focus)*cc_show_type*IF(cc_delta&lt;0,ABS(cc_delta),0)</f>
        <v>0</v>
      </c>
    </row>
    <row r="60" spans="3:18" x14ac:dyDescent="0.2">
      <c r="D60" s="128"/>
      <c r="E60" t="s">
        <v>19</v>
      </c>
      <c r="F60" s="64">
        <f t="shared" ref="F60" si="4">MONTH(D59)</f>
        <v>2</v>
      </c>
      <c r="G60" s="64">
        <f>IF(selected_period="Total Year",1,IF(selected_period=cc_month_number,1,0))</f>
        <v>0</v>
      </c>
      <c r="H60" s="64">
        <f t="shared" ref="H60" si="5">1*$E$50</f>
        <v>1</v>
      </c>
      <c r="I60" s="64">
        <f t="shared" si="3"/>
        <v>1</v>
      </c>
      <c r="J60" s="107" cm="1">
        <f t="array" ref="J60">SUM(Tracking[Amount]*(Tracking[Type]=cc_type)*(YEAR(Tracking[Effective Date])=selected_year)*(MONTH(Tracking[Effective Date])=cc_month_number))</f>
        <v>0</v>
      </c>
      <c r="K60" s="108" cm="1">
        <f t="array" aca="1" ref="K60" ca="1">INDEX('Budget Planning'!$E:$BU,expenses_total_row,MATCH(DATE(selected_year,cc_month_number,1),'Budget Planning'!$E$9:$BU$9,0))</f>
        <v>0</v>
      </c>
      <c r="L60" s="108">
        <f ca="1">cc_budget-cc_tracked</f>
        <v>0</v>
      </c>
      <c r="M60" s="105">
        <f ca="1">cc_in_focus*cc_show_type*MIN(cc_tracked,cc_budget)</f>
        <v>0</v>
      </c>
      <c r="N60" s="105">
        <f ca="1">cc_in_focus*cc_show_type*cc_show_remaining_budget*IF(cc_delta&gt;0,cc_delta,0)</f>
        <v>0</v>
      </c>
      <c r="O60" s="105">
        <f ca="1">cc_in_focus*cc_show_type*IF(cc_delta&lt;0,ABS(cc_delta),0)</f>
        <v>0</v>
      </c>
      <c r="P60" s="105">
        <f ca="1">NOT(cc_in_focus)*cc_show_type*MIN(cc_tracked,cc_budget)</f>
        <v>0</v>
      </c>
      <c r="Q60" s="105">
        <f ca="1">NOT(cc_in_focus)*cc_show_type*cc_show_remaining_budget*IF(cc_delta&gt;0,cc_delta,0)</f>
        <v>0</v>
      </c>
      <c r="R60" s="105">
        <f ca="1">NOT(cc_in_focus)*cc_show_type*IF(cc_delta&lt;0,ABS(cc_delta),0)</f>
        <v>0</v>
      </c>
    </row>
    <row r="61" spans="3:18" x14ac:dyDescent="0.2">
      <c r="D61" s="128"/>
      <c r="E61" t="s">
        <v>27</v>
      </c>
      <c r="F61" s="64">
        <f t="shared" ref="F61" si="6">MONTH(D59)</f>
        <v>2</v>
      </c>
      <c r="G61" s="64">
        <f>IF(selected_period="Total Year",1,IF(selected_period=cc_month_number,1,0))</f>
        <v>0</v>
      </c>
      <c r="H61" s="64">
        <f t="shared" ref="H61" si="7">1*$E$51</f>
        <v>1</v>
      </c>
      <c r="I61" s="64">
        <f t="shared" si="3"/>
        <v>1</v>
      </c>
      <c r="J61" s="107" cm="1">
        <f t="array" ref="J61">SUM(Tracking[Amount]*(Tracking[Type]=cc_type)*(YEAR(Tracking[Effective Date])=selected_year)*(MONTH(Tracking[Effective Date])=cc_month_number))</f>
        <v>0</v>
      </c>
      <c r="K61" s="108" cm="1">
        <f t="array" aca="1" ref="K61" ca="1">INDEX('Budget Planning'!$E:$BU,savings_total_row,MATCH(DATE(selected_year,cc_month_number,1),'Budget Planning'!$E$9:$BU$9,0))</f>
        <v>0</v>
      </c>
      <c r="L61" s="108">
        <f ca="1">cc_budget-cc_tracked</f>
        <v>0</v>
      </c>
      <c r="M61" s="105">
        <f ca="1">cc_in_focus*cc_show_type*MIN(cc_tracked,cc_budget)</f>
        <v>0</v>
      </c>
      <c r="N61" s="105">
        <f ca="1">cc_in_focus*cc_show_type*cc_show_remaining_budget*IF(cc_delta&gt;0,cc_delta,0)</f>
        <v>0</v>
      </c>
      <c r="O61" s="105">
        <f ca="1">cc_in_focus*cc_show_type*IF(cc_delta&lt;0,ABS(cc_delta),0)</f>
        <v>0</v>
      </c>
      <c r="P61" s="105">
        <f ca="1">NOT(cc_in_focus)*cc_show_type*MIN(cc_tracked,cc_budget)</f>
        <v>0</v>
      </c>
      <c r="Q61" s="105">
        <f ca="1">NOT(cc_in_focus)*cc_show_type*cc_show_remaining_budget*IF(cc_delta&gt;0,cc_delta,0)</f>
        <v>0</v>
      </c>
      <c r="R61" s="105">
        <f ca="1">NOT(cc_in_focus)*cc_show_type*IF(cc_delta&lt;0,ABS(cc_delta),0)</f>
        <v>0</v>
      </c>
    </row>
    <row r="62" spans="3:18" x14ac:dyDescent="0.2">
      <c r="D62" s="129"/>
      <c r="E62" s="1"/>
      <c r="F62" s="1"/>
      <c r="G62" s="104"/>
      <c r="H62" s="104"/>
      <c r="I62" s="104"/>
      <c r="J62" s="109"/>
      <c r="K62" s="110"/>
      <c r="L62" s="110"/>
      <c r="M62" s="104"/>
      <c r="N62" s="1"/>
      <c r="O62" s="1"/>
      <c r="P62" s="1"/>
      <c r="Q62" s="1"/>
      <c r="R62" s="1"/>
    </row>
    <row r="63" spans="3:18" x14ac:dyDescent="0.2">
      <c r="D63" s="127">
        <f>DATE(selected_year,3,1)</f>
        <v>46082</v>
      </c>
      <c r="E63" s="103" t="s">
        <v>15</v>
      </c>
      <c r="F63" s="64">
        <f t="shared" ref="F63" si="8">MONTH(D63)</f>
        <v>3</v>
      </c>
      <c r="G63" s="64">
        <f>IF(selected_period="Total Year",1,IF(selected_period=cc_month_number,1,0))</f>
        <v>0</v>
      </c>
      <c r="H63" s="64">
        <f t="shared" ref="H63" si="9">1*$E$49</f>
        <v>1</v>
      </c>
      <c r="I63" s="64">
        <f t="shared" ref="I63" si="10">1*$E$52</f>
        <v>1</v>
      </c>
      <c r="J63" s="107" cm="1">
        <f t="array" ref="J63">SUM(Tracking[Amount]*(Tracking[Type]=cc_type)*(YEAR(Tracking[Effective Date])=selected_year)*(MONTH(Tracking[Effective Date])=cc_month_number))</f>
        <v>0</v>
      </c>
      <c r="K63" s="108" cm="1">
        <f t="array" aca="1" ref="K63" ca="1">INDEX('Budget Planning'!$E:$BU,income_total_row,MATCH(DATE(selected_year,cc_month_number,1),'Budget Planning'!$E$9:$BU$9,0))</f>
        <v>0</v>
      </c>
      <c r="L63" s="108">
        <f ca="1">cc_budget-cc_tracked</f>
        <v>0</v>
      </c>
      <c r="M63" s="105">
        <f ca="1">cc_in_focus*cc_show_type*MIN(cc_tracked,cc_budget)</f>
        <v>0</v>
      </c>
      <c r="N63" s="105">
        <f ca="1">cc_in_focus*cc_show_type*cc_show_remaining_budget*IF(cc_delta&gt;0,cc_delta,0)</f>
        <v>0</v>
      </c>
      <c r="O63" s="105">
        <f ca="1">cc_in_focus*cc_show_type*IF(cc_delta&lt;0,ABS(cc_delta),0)</f>
        <v>0</v>
      </c>
      <c r="P63" s="105">
        <f ca="1">NOT(cc_in_focus)*cc_show_type*MIN(cc_tracked,cc_budget)</f>
        <v>0</v>
      </c>
      <c r="Q63" s="105">
        <f ca="1">NOT(cc_in_focus)*cc_show_type*cc_show_remaining_budget*IF(cc_delta&gt;0,cc_delta,0)</f>
        <v>0</v>
      </c>
      <c r="R63" s="105">
        <f ca="1">NOT(cc_in_focus)*cc_show_type*IF(cc_delta&lt;0,ABS(cc_delta),0)</f>
        <v>0</v>
      </c>
    </row>
    <row r="64" spans="3:18" x14ac:dyDescent="0.2">
      <c r="D64" s="128"/>
      <c r="E64" t="s">
        <v>19</v>
      </c>
      <c r="F64" s="64">
        <f t="shared" ref="F64" si="11">MONTH(D63)</f>
        <v>3</v>
      </c>
      <c r="G64" s="64">
        <f>IF(selected_period="Total Year",1,IF(selected_period=cc_month_number,1,0))</f>
        <v>0</v>
      </c>
      <c r="H64" s="64">
        <f t="shared" ref="H64" si="12">1*$E$50</f>
        <v>1</v>
      </c>
      <c r="I64" s="64">
        <f t="shared" si="3"/>
        <v>1</v>
      </c>
      <c r="J64" s="107" cm="1">
        <f t="array" ref="J64">SUM(Tracking[Amount]*(Tracking[Type]=cc_type)*(YEAR(Tracking[Effective Date])=selected_year)*(MONTH(Tracking[Effective Date])=cc_month_number))</f>
        <v>0</v>
      </c>
      <c r="K64" s="108" cm="1">
        <f t="array" aca="1" ref="K64" ca="1">INDEX('Budget Planning'!$E:$BU,income_total_row,MATCH(DATE(selected_year,cc_month_number,1),'Budget Planning'!$E$9:$BU$9,0))</f>
        <v>0</v>
      </c>
      <c r="L64" s="108">
        <f ca="1">cc_budget-cc_tracked</f>
        <v>0</v>
      </c>
      <c r="M64" s="105">
        <f ca="1">cc_in_focus*cc_show_type*MIN(cc_tracked,cc_budget)</f>
        <v>0</v>
      </c>
      <c r="N64" s="105">
        <f ca="1">cc_in_focus*cc_show_type*cc_show_remaining_budget*IF(cc_delta&gt;0,cc_delta,0)</f>
        <v>0</v>
      </c>
      <c r="O64" s="105">
        <f ca="1">cc_in_focus*cc_show_type*IF(cc_delta&lt;0,ABS(cc_delta),0)</f>
        <v>0</v>
      </c>
      <c r="P64" s="105">
        <f ca="1">NOT(cc_in_focus)*cc_show_type*MIN(cc_tracked,cc_budget)</f>
        <v>0</v>
      </c>
      <c r="Q64" s="105">
        <f ca="1">NOT(cc_in_focus)*cc_show_type*cc_show_remaining_budget*IF(cc_delta&gt;0,cc_delta,0)</f>
        <v>0</v>
      </c>
      <c r="R64" s="105">
        <f ca="1">NOT(cc_in_focus)*cc_show_type*IF(cc_delta&lt;0,ABS(cc_delta),0)</f>
        <v>0</v>
      </c>
    </row>
    <row r="65" spans="4:18" x14ac:dyDescent="0.2">
      <c r="D65" s="128"/>
      <c r="E65" t="s">
        <v>27</v>
      </c>
      <c r="F65" s="64">
        <f t="shared" ref="F65" si="13">MONTH(D63)</f>
        <v>3</v>
      </c>
      <c r="G65" s="64">
        <f>IF(selected_period="Total Year",1,IF(selected_period=cc_month_number,1,0))</f>
        <v>0</v>
      </c>
      <c r="H65" s="64">
        <f t="shared" ref="H65" si="14">1*$E$51</f>
        <v>1</v>
      </c>
      <c r="I65" s="64">
        <f t="shared" si="3"/>
        <v>1</v>
      </c>
      <c r="J65" s="107" cm="1">
        <f t="array" ref="J65">SUM(Tracking[Amount]*(Tracking[Type]=cc_type)*(YEAR(Tracking[Effective Date])=selected_year)*(MONTH(Tracking[Effective Date])=cc_month_number))</f>
        <v>0</v>
      </c>
      <c r="K65" s="108" cm="1">
        <f t="array" aca="1" ref="K65" ca="1">INDEX('Budget Planning'!$E:$BU,income_total_row,MATCH(DATE(selected_year,cc_month_number,1),'Budget Planning'!$E$9:$BU$9,0))</f>
        <v>0</v>
      </c>
      <c r="L65" s="108">
        <f ca="1">cc_budget-cc_tracked</f>
        <v>0</v>
      </c>
      <c r="M65" s="105">
        <f ca="1">cc_in_focus*cc_show_type*MIN(cc_tracked,cc_budget)</f>
        <v>0</v>
      </c>
      <c r="N65" s="105">
        <f ca="1">cc_in_focus*cc_show_type*cc_show_remaining_budget*IF(cc_delta&gt;0,cc_delta,0)</f>
        <v>0</v>
      </c>
      <c r="O65" s="105">
        <f ca="1">cc_in_focus*cc_show_type*IF(cc_delta&lt;0,ABS(cc_delta),0)</f>
        <v>0</v>
      </c>
      <c r="P65" s="105">
        <f ca="1">NOT(cc_in_focus)*cc_show_type*MIN(cc_tracked,cc_budget)</f>
        <v>0</v>
      </c>
      <c r="Q65" s="105">
        <f ca="1">NOT(cc_in_focus)*cc_show_type*cc_show_remaining_budget*IF(cc_delta&gt;0,cc_delta,0)</f>
        <v>0</v>
      </c>
      <c r="R65" s="105">
        <f ca="1">NOT(cc_in_focus)*cc_show_type*IF(cc_delta&lt;0,ABS(cc_delta),0)</f>
        <v>0</v>
      </c>
    </row>
    <row r="66" spans="4:18" x14ac:dyDescent="0.2">
      <c r="D66" s="129"/>
      <c r="E66" s="1"/>
      <c r="F66" s="1"/>
      <c r="G66" s="104"/>
      <c r="H66" s="104"/>
      <c r="I66" s="104"/>
      <c r="J66" s="109"/>
      <c r="K66" s="110"/>
      <c r="L66" s="110"/>
      <c r="M66" s="104"/>
      <c r="N66" s="1"/>
      <c r="O66" s="1"/>
      <c r="P66" s="1"/>
      <c r="Q66" s="1"/>
      <c r="R66" s="1"/>
    </row>
    <row r="67" spans="4:18" x14ac:dyDescent="0.2">
      <c r="D67" s="127">
        <f>DATE(selected_year,4,1)</f>
        <v>46113</v>
      </c>
      <c r="E67" s="103" t="s">
        <v>15</v>
      </c>
      <c r="F67" s="64">
        <f t="shared" ref="F67" si="15">MONTH(D67)</f>
        <v>4</v>
      </c>
      <c r="G67" s="64">
        <f>IF(selected_period="Total Year",1,IF(selected_period=cc_month_number,1,0))</f>
        <v>0</v>
      </c>
      <c r="H67" s="64">
        <f t="shared" ref="H67" si="16">1*$E$49</f>
        <v>1</v>
      </c>
      <c r="I67" s="64">
        <f t="shared" ref="I67" si="17">1*$E$52</f>
        <v>1</v>
      </c>
      <c r="J67" s="107" cm="1">
        <f t="array" ref="J67">SUM(Tracking[Amount]*(Tracking[Type]=cc_type)*(YEAR(Tracking[Effective Date])=selected_year)*(MONTH(Tracking[Effective Date])=cc_month_number))</f>
        <v>0</v>
      </c>
      <c r="K67" s="108" cm="1">
        <f t="array" aca="1" ref="K67" ca="1">INDEX('Budget Planning'!$E:$BU,income_total_row,MATCH(DATE(selected_year,cc_month_number,1),'Budget Planning'!$E$9:$BU$9,0))</f>
        <v>0</v>
      </c>
      <c r="L67" s="108">
        <f ca="1">cc_budget-cc_tracked</f>
        <v>0</v>
      </c>
      <c r="M67" s="105">
        <f ca="1">cc_in_focus*cc_show_type*MIN(cc_tracked,cc_budget)</f>
        <v>0</v>
      </c>
      <c r="N67" s="105">
        <f ca="1">cc_in_focus*cc_show_type*cc_show_remaining_budget*IF(cc_delta&gt;0,cc_delta,0)</f>
        <v>0</v>
      </c>
      <c r="O67" s="105">
        <f ca="1">cc_in_focus*cc_show_type*IF(cc_delta&lt;0,ABS(cc_delta),0)</f>
        <v>0</v>
      </c>
      <c r="P67" s="105">
        <f ca="1">NOT(cc_in_focus)*cc_show_type*MIN(cc_tracked,cc_budget)</f>
        <v>0</v>
      </c>
      <c r="Q67" s="105">
        <f ca="1">NOT(cc_in_focus)*cc_show_type*cc_show_remaining_budget*IF(cc_delta&gt;0,cc_delta,0)</f>
        <v>0</v>
      </c>
      <c r="R67" s="105">
        <f ca="1">NOT(cc_in_focus)*cc_show_type*IF(cc_delta&lt;0,ABS(cc_delta),0)</f>
        <v>0</v>
      </c>
    </row>
    <row r="68" spans="4:18" x14ac:dyDescent="0.2">
      <c r="D68" s="128"/>
      <c r="E68" t="s">
        <v>19</v>
      </c>
      <c r="F68" s="64">
        <f t="shared" ref="F68" si="18">MONTH(D67)</f>
        <v>4</v>
      </c>
      <c r="G68" s="64">
        <f>IF(selected_period="Total Year",1,IF(selected_period=cc_month_number,1,0))</f>
        <v>0</v>
      </c>
      <c r="H68" s="64">
        <f t="shared" ref="H68" si="19">1*$E$50</f>
        <v>1</v>
      </c>
      <c r="I68" s="64">
        <f t="shared" si="3"/>
        <v>1</v>
      </c>
      <c r="J68" s="107" cm="1">
        <f t="array" ref="J68">SUM(Tracking[Amount]*(Tracking[Type]=cc_type)*(YEAR(Tracking[Effective Date])=selected_year)*(MONTH(Tracking[Effective Date])=cc_month_number))</f>
        <v>0</v>
      </c>
      <c r="K68" s="108" cm="1">
        <f t="array" aca="1" ref="K68" ca="1">INDEX('Budget Planning'!$E:$BU,income_total_row,MATCH(DATE(selected_year,cc_month_number,1),'Budget Planning'!$E$9:$BU$9,0))</f>
        <v>0</v>
      </c>
      <c r="L68" s="108">
        <f ca="1">cc_budget-cc_tracked</f>
        <v>0</v>
      </c>
      <c r="M68" s="105">
        <f ca="1">cc_in_focus*cc_show_type*MIN(cc_tracked,cc_budget)</f>
        <v>0</v>
      </c>
      <c r="N68" s="105">
        <f ca="1">cc_in_focus*cc_show_type*cc_show_remaining_budget*IF(cc_delta&gt;0,cc_delta,0)</f>
        <v>0</v>
      </c>
      <c r="O68" s="105">
        <f ca="1">cc_in_focus*cc_show_type*IF(cc_delta&lt;0,ABS(cc_delta),0)</f>
        <v>0</v>
      </c>
      <c r="P68" s="105">
        <f ca="1">NOT(cc_in_focus)*cc_show_type*MIN(cc_tracked,cc_budget)</f>
        <v>0</v>
      </c>
      <c r="Q68" s="105">
        <f ca="1">NOT(cc_in_focus)*cc_show_type*cc_show_remaining_budget*IF(cc_delta&gt;0,cc_delta,0)</f>
        <v>0</v>
      </c>
      <c r="R68" s="105">
        <f ca="1">NOT(cc_in_focus)*cc_show_type*IF(cc_delta&lt;0,ABS(cc_delta),0)</f>
        <v>0</v>
      </c>
    </row>
    <row r="69" spans="4:18" x14ac:dyDescent="0.2">
      <c r="D69" s="128"/>
      <c r="E69" t="s">
        <v>27</v>
      </c>
      <c r="F69" s="64">
        <f t="shared" ref="F69" si="20">MONTH(D67)</f>
        <v>4</v>
      </c>
      <c r="G69" s="64">
        <f>IF(selected_period="Total Year",1,IF(selected_period=cc_month_number,1,0))</f>
        <v>0</v>
      </c>
      <c r="H69" s="64">
        <f t="shared" ref="H69" si="21">1*$E$51</f>
        <v>1</v>
      </c>
      <c r="I69" s="64">
        <f t="shared" si="3"/>
        <v>1</v>
      </c>
      <c r="J69" s="107" cm="1">
        <f t="array" ref="J69">SUM(Tracking[Amount]*(Tracking[Type]=cc_type)*(YEAR(Tracking[Effective Date])=selected_year)*(MONTH(Tracking[Effective Date])=cc_month_number))</f>
        <v>0</v>
      </c>
      <c r="K69" s="108" cm="1">
        <f t="array" aca="1" ref="K69" ca="1">INDEX('Budget Planning'!$E:$BU,income_total_row,MATCH(DATE(selected_year,cc_month_number,1),'Budget Planning'!$E$9:$BU$9,0))</f>
        <v>0</v>
      </c>
      <c r="L69" s="108">
        <f ca="1">cc_budget-cc_tracked</f>
        <v>0</v>
      </c>
      <c r="M69" s="105">
        <f ca="1">cc_in_focus*cc_show_type*MIN(cc_tracked,cc_budget)</f>
        <v>0</v>
      </c>
      <c r="N69" s="105">
        <f ca="1">cc_in_focus*cc_show_type*cc_show_remaining_budget*IF(cc_delta&gt;0,cc_delta,0)</f>
        <v>0</v>
      </c>
      <c r="O69" s="105">
        <f ca="1">cc_in_focus*cc_show_type*IF(cc_delta&lt;0,ABS(cc_delta),0)</f>
        <v>0</v>
      </c>
      <c r="P69" s="105">
        <f ca="1">NOT(cc_in_focus)*cc_show_type*MIN(cc_tracked,cc_budget)</f>
        <v>0</v>
      </c>
      <c r="Q69" s="105">
        <f ca="1">NOT(cc_in_focus)*cc_show_type*cc_show_remaining_budget*IF(cc_delta&gt;0,cc_delta,0)</f>
        <v>0</v>
      </c>
      <c r="R69" s="105">
        <f ca="1">NOT(cc_in_focus)*cc_show_type*IF(cc_delta&lt;0,ABS(cc_delta),0)</f>
        <v>0</v>
      </c>
    </row>
    <row r="70" spans="4:18" x14ac:dyDescent="0.2">
      <c r="D70" s="129"/>
      <c r="E70" s="1"/>
      <c r="F70" s="1"/>
      <c r="G70" s="104"/>
      <c r="H70" s="104"/>
      <c r="I70" s="104"/>
      <c r="J70" s="109"/>
      <c r="K70" s="110"/>
      <c r="L70" s="110"/>
      <c r="M70" s="104"/>
      <c r="N70" s="1"/>
      <c r="O70" s="1"/>
      <c r="P70" s="1"/>
      <c r="Q70" s="1"/>
      <c r="R70" s="1"/>
    </row>
    <row r="71" spans="4:18" x14ac:dyDescent="0.2">
      <c r="D71" s="127">
        <f>DATE(selected_year,5,1)</f>
        <v>46143</v>
      </c>
      <c r="E71" s="103" t="s">
        <v>15</v>
      </c>
      <c r="F71" s="64">
        <f t="shared" ref="F71" si="22">MONTH(D71)</f>
        <v>5</v>
      </c>
      <c r="G71" s="64">
        <f>IF(selected_period="Total Year",1,IF(selected_period=cc_month_number,1,0))</f>
        <v>0</v>
      </c>
      <c r="H71" s="64">
        <f t="shared" ref="H71" si="23">1*$E$49</f>
        <v>1</v>
      </c>
      <c r="I71" s="64">
        <f t="shared" ref="I71" si="24">1*$E$52</f>
        <v>1</v>
      </c>
      <c r="J71" s="107" cm="1">
        <f t="array" ref="J71">SUM(Tracking[Amount]*(Tracking[Type]=cc_type)*(YEAR(Tracking[Effective Date])=selected_year)*(MONTH(Tracking[Effective Date])=cc_month_number))</f>
        <v>0</v>
      </c>
      <c r="K71" s="108" cm="1">
        <f t="array" aca="1" ref="K71" ca="1">INDEX('Budget Planning'!$E:$BU,income_total_row,MATCH(DATE(selected_year,cc_month_number,1),'Budget Planning'!$E$9:$BU$9,0))</f>
        <v>0</v>
      </c>
      <c r="L71" s="108">
        <f ca="1">cc_budget-cc_tracked</f>
        <v>0</v>
      </c>
      <c r="M71" s="105">
        <f ca="1">cc_in_focus*cc_show_type*MIN(cc_tracked,cc_budget)</f>
        <v>0</v>
      </c>
      <c r="N71" s="105">
        <f ca="1">cc_in_focus*cc_show_type*cc_show_remaining_budget*IF(cc_delta&gt;0,cc_delta,0)</f>
        <v>0</v>
      </c>
      <c r="O71" s="105">
        <f ca="1">cc_in_focus*cc_show_type*IF(cc_delta&lt;0,ABS(cc_delta),0)</f>
        <v>0</v>
      </c>
      <c r="P71" s="105">
        <f ca="1">NOT(cc_in_focus)*cc_show_type*MIN(cc_tracked,cc_budget)</f>
        <v>0</v>
      </c>
      <c r="Q71" s="105">
        <f ca="1">NOT(cc_in_focus)*cc_show_type*cc_show_remaining_budget*IF(cc_delta&gt;0,cc_delta,0)</f>
        <v>0</v>
      </c>
      <c r="R71" s="105">
        <f ca="1">NOT(cc_in_focus)*cc_show_type*IF(cc_delta&lt;0,ABS(cc_delta),0)</f>
        <v>0</v>
      </c>
    </row>
    <row r="72" spans="4:18" x14ac:dyDescent="0.2">
      <c r="D72" s="128"/>
      <c r="E72" t="s">
        <v>19</v>
      </c>
      <c r="F72" s="64">
        <f t="shared" ref="F72" si="25">MONTH(D71)</f>
        <v>5</v>
      </c>
      <c r="G72" s="64">
        <f>IF(selected_period="Total Year",1,IF(selected_period=cc_month_number,1,0))</f>
        <v>0</v>
      </c>
      <c r="H72" s="64">
        <f t="shared" ref="H72" si="26">1*$E$50</f>
        <v>1</v>
      </c>
      <c r="I72" s="64">
        <f t="shared" si="3"/>
        <v>1</v>
      </c>
      <c r="J72" s="107" cm="1">
        <f t="array" ref="J72">SUM(Tracking[Amount]*(Tracking[Type]=cc_type)*(YEAR(Tracking[Effective Date])=selected_year)*(MONTH(Tracking[Effective Date])=cc_month_number))</f>
        <v>0</v>
      </c>
      <c r="K72" s="108" cm="1">
        <f t="array" aca="1" ref="K72" ca="1">INDEX('Budget Planning'!$E:$BU,income_total_row,MATCH(DATE(selected_year,cc_month_number,1),'Budget Planning'!$E$9:$BU$9,0))</f>
        <v>0</v>
      </c>
      <c r="L72" s="108">
        <f ca="1">cc_budget-cc_tracked</f>
        <v>0</v>
      </c>
      <c r="M72" s="105">
        <f ca="1">cc_in_focus*cc_show_type*MIN(cc_tracked,cc_budget)</f>
        <v>0</v>
      </c>
      <c r="N72" s="105">
        <f ca="1">cc_in_focus*cc_show_type*cc_show_remaining_budget*IF(cc_delta&gt;0,cc_delta,0)</f>
        <v>0</v>
      </c>
      <c r="O72" s="105">
        <f ca="1">cc_in_focus*cc_show_type*IF(cc_delta&lt;0,ABS(cc_delta),0)</f>
        <v>0</v>
      </c>
      <c r="P72" s="105">
        <f ca="1">NOT(cc_in_focus)*cc_show_type*MIN(cc_tracked,cc_budget)</f>
        <v>0</v>
      </c>
      <c r="Q72" s="105">
        <f ca="1">NOT(cc_in_focus)*cc_show_type*cc_show_remaining_budget*IF(cc_delta&gt;0,cc_delta,0)</f>
        <v>0</v>
      </c>
      <c r="R72" s="105">
        <f ca="1">NOT(cc_in_focus)*cc_show_type*IF(cc_delta&lt;0,ABS(cc_delta),0)</f>
        <v>0</v>
      </c>
    </row>
    <row r="73" spans="4:18" x14ac:dyDescent="0.2">
      <c r="D73" s="128"/>
      <c r="E73" t="s">
        <v>27</v>
      </c>
      <c r="F73" s="64">
        <f t="shared" ref="F73" si="27">MONTH(D71)</f>
        <v>5</v>
      </c>
      <c r="G73" s="64">
        <f>IF(selected_period="Total Year",1,IF(selected_period=cc_month_number,1,0))</f>
        <v>0</v>
      </c>
      <c r="H73" s="64">
        <f t="shared" ref="H73" si="28">1*$E$51</f>
        <v>1</v>
      </c>
      <c r="I73" s="64">
        <f t="shared" si="3"/>
        <v>1</v>
      </c>
      <c r="J73" s="107" cm="1">
        <f t="array" ref="J73">SUM(Tracking[Amount]*(Tracking[Type]=cc_type)*(YEAR(Tracking[Effective Date])=selected_year)*(MONTH(Tracking[Effective Date])=cc_month_number))</f>
        <v>0</v>
      </c>
      <c r="K73" s="108" cm="1">
        <f t="array" aca="1" ref="K73" ca="1">INDEX('Budget Planning'!$E:$BU,income_total_row,MATCH(DATE(selected_year,cc_month_number,1),'Budget Planning'!$E$9:$BU$9,0))</f>
        <v>0</v>
      </c>
      <c r="L73" s="108">
        <f ca="1">cc_budget-cc_tracked</f>
        <v>0</v>
      </c>
      <c r="M73" s="105">
        <f ca="1">cc_in_focus*cc_show_type*MIN(cc_tracked,cc_budget)</f>
        <v>0</v>
      </c>
      <c r="N73" s="105">
        <f ca="1">cc_in_focus*cc_show_type*cc_show_remaining_budget*IF(cc_delta&gt;0,cc_delta,0)</f>
        <v>0</v>
      </c>
      <c r="O73" s="105">
        <f ca="1">cc_in_focus*cc_show_type*IF(cc_delta&lt;0,ABS(cc_delta),0)</f>
        <v>0</v>
      </c>
      <c r="P73" s="105">
        <f ca="1">NOT(cc_in_focus)*cc_show_type*MIN(cc_tracked,cc_budget)</f>
        <v>0</v>
      </c>
      <c r="Q73" s="105">
        <f ca="1">NOT(cc_in_focus)*cc_show_type*cc_show_remaining_budget*IF(cc_delta&gt;0,cc_delta,0)</f>
        <v>0</v>
      </c>
      <c r="R73" s="105">
        <f ca="1">NOT(cc_in_focus)*cc_show_type*IF(cc_delta&lt;0,ABS(cc_delta),0)</f>
        <v>0</v>
      </c>
    </row>
    <row r="74" spans="4:18" x14ac:dyDescent="0.2">
      <c r="D74" s="129"/>
      <c r="E74" s="1"/>
      <c r="F74" s="1"/>
      <c r="G74" s="104"/>
      <c r="H74" s="104"/>
      <c r="I74" s="104"/>
      <c r="J74" s="109"/>
      <c r="K74" s="110"/>
      <c r="L74" s="110"/>
      <c r="M74" s="104"/>
      <c r="N74" s="1"/>
      <c r="O74" s="1"/>
      <c r="P74" s="1"/>
      <c r="Q74" s="1"/>
      <c r="R74" s="1"/>
    </row>
    <row r="75" spans="4:18" x14ac:dyDescent="0.2">
      <c r="D75" s="127">
        <f>DATE(selected_year,6,1)</f>
        <v>46174</v>
      </c>
      <c r="E75" s="103" t="s">
        <v>15</v>
      </c>
      <c r="F75" s="64">
        <f t="shared" ref="F75" si="29">MONTH(D75)</f>
        <v>6</v>
      </c>
      <c r="G75" s="64">
        <f>IF(selected_period="Total Year",1,IF(selected_period=cc_month_number,1,0))</f>
        <v>0</v>
      </c>
      <c r="H75" s="64">
        <f t="shared" ref="H75" si="30">1*$E$49</f>
        <v>1</v>
      </c>
      <c r="I75" s="64">
        <f t="shared" ref="I75" si="31">1*$E$52</f>
        <v>1</v>
      </c>
      <c r="J75" s="107" cm="1">
        <f t="array" ref="J75">SUM(Tracking[Amount]*(Tracking[Type]=cc_type)*(YEAR(Tracking[Effective Date])=selected_year)*(MONTH(Tracking[Effective Date])=cc_month_number))</f>
        <v>0</v>
      </c>
      <c r="K75" s="108" cm="1">
        <f t="array" aca="1" ref="K75" ca="1">INDEX('Budget Planning'!$E:$BU,income_total_row,MATCH(DATE(selected_year,cc_month_number,1),'Budget Planning'!$E$9:$BU$9,0))</f>
        <v>0</v>
      </c>
      <c r="L75" s="108">
        <f ca="1">cc_budget-cc_tracked</f>
        <v>0</v>
      </c>
      <c r="M75" s="105">
        <f ca="1">cc_in_focus*cc_show_type*MIN(cc_tracked,cc_budget)</f>
        <v>0</v>
      </c>
      <c r="N75" s="105">
        <f ca="1">cc_in_focus*cc_show_type*cc_show_remaining_budget*IF(cc_delta&gt;0,cc_delta,0)</f>
        <v>0</v>
      </c>
      <c r="O75" s="105">
        <f ca="1">cc_in_focus*cc_show_type*IF(cc_delta&lt;0,ABS(cc_delta),0)</f>
        <v>0</v>
      </c>
      <c r="P75" s="105">
        <f ca="1">NOT(cc_in_focus)*cc_show_type*MIN(cc_tracked,cc_budget)</f>
        <v>0</v>
      </c>
      <c r="Q75" s="105">
        <f ca="1">NOT(cc_in_focus)*cc_show_type*cc_show_remaining_budget*IF(cc_delta&gt;0,cc_delta,0)</f>
        <v>0</v>
      </c>
      <c r="R75" s="105">
        <f ca="1">NOT(cc_in_focus)*cc_show_type*IF(cc_delta&lt;0,ABS(cc_delta),0)</f>
        <v>0</v>
      </c>
    </row>
    <row r="76" spans="4:18" x14ac:dyDescent="0.2">
      <c r="D76" s="128"/>
      <c r="E76" t="s">
        <v>19</v>
      </c>
      <c r="F76" s="64">
        <f t="shared" ref="F76" si="32">MONTH(D75)</f>
        <v>6</v>
      </c>
      <c r="G76" s="64">
        <f>IF(selected_period="Total Year",1,IF(selected_period=cc_month_number,1,0))</f>
        <v>0</v>
      </c>
      <c r="H76" s="64">
        <f t="shared" ref="H76" si="33">1*$E$50</f>
        <v>1</v>
      </c>
      <c r="I76" s="64">
        <f t="shared" si="3"/>
        <v>1</v>
      </c>
      <c r="J76" s="107" cm="1">
        <f t="array" ref="J76">SUM(Tracking[Amount]*(Tracking[Type]=cc_type)*(YEAR(Tracking[Effective Date])=selected_year)*(MONTH(Tracking[Effective Date])=cc_month_number))</f>
        <v>0</v>
      </c>
      <c r="K76" s="108" cm="1">
        <f t="array" aca="1" ref="K76" ca="1">INDEX('Budget Planning'!$E:$BU,income_total_row,MATCH(DATE(selected_year,cc_month_number,1),'Budget Planning'!$E$9:$BU$9,0))</f>
        <v>0</v>
      </c>
      <c r="L76" s="108">
        <f ca="1">cc_budget-cc_tracked</f>
        <v>0</v>
      </c>
      <c r="M76" s="105">
        <f ca="1">cc_in_focus*cc_show_type*MIN(cc_tracked,cc_budget)</f>
        <v>0</v>
      </c>
      <c r="N76" s="105">
        <f ca="1">cc_in_focus*cc_show_type*cc_show_remaining_budget*IF(cc_delta&gt;0,cc_delta,0)</f>
        <v>0</v>
      </c>
      <c r="O76" s="105">
        <f ca="1">cc_in_focus*cc_show_type*IF(cc_delta&lt;0,ABS(cc_delta),0)</f>
        <v>0</v>
      </c>
      <c r="P76" s="105">
        <f ca="1">NOT(cc_in_focus)*cc_show_type*MIN(cc_tracked,cc_budget)</f>
        <v>0</v>
      </c>
      <c r="Q76" s="105">
        <f ca="1">NOT(cc_in_focus)*cc_show_type*cc_show_remaining_budget*IF(cc_delta&gt;0,cc_delta,0)</f>
        <v>0</v>
      </c>
      <c r="R76" s="105">
        <f ca="1">NOT(cc_in_focus)*cc_show_type*IF(cc_delta&lt;0,ABS(cc_delta),0)</f>
        <v>0</v>
      </c>
    </row>
    <row r="77" spans="4:18" x14ac:dyDescent="0.2">
      <c r="D77" s="128"/>
      <c r="E77" t="s">
        <v>27</v>
      </c>
      <c r="F77" s="64">
        <f t="shared" ref="F77" si="34">MONTH(D75)</f>
        <v>6</v>
      </c>
      <c r="G77" s="64">
        <f>IF(selected_period="Total Year",1,IF(selected_period=cc_month_number,1,0))</f>
        <v>0</v>
      </c>
      <c r="H77" s="64">
        <f t="shared" ref="H77" si="35">1*$E$51</f>
        <v>1</v>
      </c>
      <c r="I77" s="64">
        <f t="shared" si="3"/>
        <v>1</v>
      </c>
      <c r="J77" s="107" cm="1">
        <f t="array" ref="J77">SUM(Tracking[Amount]*(Tracking[Type]=cc_type)*(YEAR(Tracking[Effective Date])=selected_year)*(MONTH(Tracking[Effective Date])=cc_month_number))</f>
        <v>0</v>
      </c>
      <c r="K77" s="108" cm="1">
        <f t="array" aca="1" ref="K77" ca="1">INDEX('Budget Planning'!$E:$BU,income_total_row,MATCH(DATE(selected_year,cc_month_number,1),'Budget Planning'!$E$9:$BU$9,0))</f>
        <v>0</v>
      </c>
      <c r="L77" s="108">
        <f ca="1">cc_budget-cc_tracked</f>
        <v>0</v>
      </c>
      <c r="M77" s="105">
        <f ca="1">cc_in_focus*cc_show_type*MIN(cc_tracked,cc_budget)</f>
        <v>0</v>
      </c>
      <c r="N77" s="105">
        <f ca="1">cc_in_focus*cc_show_type*cc_show_remaining_budget*IF(cc_delta&gt;0,cc_delta,0)</f>
        <v>0</v>
      </c>
      <c r="O77" s="105">
        <f ca="1">cc_in_focus*cc_show_type*IF(cc_delta&lt;0,ABS(cc_delta),0)</f>
        <v>0</v>
      </c>
      <c r="P77" s="105">
        <f ca="1">NOT(cc_in_focus)*cc_show_type*MIN(cc_tracked,cc_budget)</f>
        <v>0</v>
      </c>
      <c r="Q77" s="105">
        <f ca="1">NOT(cc_in_focus)*cc_show_type*cc_show_remaining_budget*IF(cc_delta&gt;0,cc_delta,0)</f>
        <v>0</v>
      </c>
      <c r="R77" s="105">
        <f ca="1">NOT(cc_in_focus)*cc_show_type*IF(cc_delta&lt;0,ABS(cc_delta),0)</f>
        <v>0</v>
      </c>
    </row>
    <row r="78" spans="4:18" x14ac:dyDescent="0.2">
      <c r="D78" s="129"/>
      <c r="E78" s="1"/>
      <c r="F78" s="1"/>
      <c r="G78" s="104"/>
      <c r="H78" s="104"/>
      <c r="I78" s="104"/>
      <c r="J78" s="109"/>
      <c r="K78" s="110"/>
      <c r="L78" s="110"/>
      <c r="M78" s="104"/>
      <c r="N78" s="1"/>
      <c r="O78" s="1"/>
      <c r="P78" s="1"/>
      <c r="Q78" s="1"/>
      <c r="R78" s="1"/>
    </row>
    <row r="79" spans="4:18" x14ac:dyDescent="0.2">
      <c r="D79" s="127">
        <f>DATE(selected_year,7,1)</f>
        <v>46204</v>
      </c>
      <c r="E79" s="103" t="s">
        <v>15</v>
      </c>
      <c r="F79" s="64">
        <f t="shared" ref="F79" si="36">MONTH(D79)</f>
        <v>7</v>
      </c>
      <c r="G79" s="64">
        <f>IF(selected_period="Total Year",1,IF(selected_period=cc_month_number,1,0))</f>
        <v>0</v>
      </c>
      <c r="H79" s="64">
        <f t="shared" ref="H79" si="37">1*$E$49</f>
        <v>1</v>
      </c>
      <c r="I79" s="64">
        <f t="shared" ref="I79" si="38">1*$E$52</f>
        <v>1</v>
      </c>
      <c r="J79" s="107" cm="1">
        <f t="array" ref="J79">SUM(Tracking[Amount]*(Tracking[Type]=cc_type)*(YEAR(Tracking[Effective Date])=selected_year)*(MONTH(Tracking[Effective Date])=cc_month_number))</f>
        <v>0</v>
      </c>
      <c r="K79" s="108" cm="1">
        <f t="array" aca="1" ref="K79" ca="1">INDEX('Budget Planning'!$E:$BU,income_total_row,MATCH(DATE(selected_year,cc_month_number,1),'Budget Planning'!$E$9:$BU$9,0))</f>
        <v>0</v>
      </c>
      <c r="L79" s="108">
        <f ca="1">cc_budget-cc_tracked</f>
        <v>0</v>
      </c>
      <c r="M79" s="105">
        <f ca="1">cc_in_focus*cc_show_type*MIN(cc_tracked,cc_budget)</f>
        <v>0</v>
      </c>
      <c r="N79" s="105">
        <f ca="1">cc_in_focus*cc_show_type*cc_show_remaining_budget*IF(cc_delta&gt;0,cc_delta,0)</f>
        <v>0</v>
      </c>
      <c r="O79" s="105">
        <f ca="1">cc_in_focus*cc_show_type*IF(cc_delta&lt;0,ABS(cc_delta),0)</f>
        <v>0</v>
      </c>
      <c r="P79" s="105">
        <f ca="1">NOT(cc_in_focus)*cc_show_type*MIN(cc_tracked,cc_budget)</f>
        <v>0</v>
      </c>
      <c r="Q79" s="105">
        <f ca="1">NOT(cc_in_focus)*cc_show_type*cc_show_remaining_budget*IF(cc_delta&gt;0,cc_delta,0)</f>
        <v>0</v>
      </c>
      <c r="R79" s="105">
        <f ca="1">NOT(cc_in_focus)*cc_show_type*IF(cc_delta&lt;0,ABS(cc_delta),0)</f>
        <v>0</v>
      </c>
    </row>
    <row r="80" spans="4:18" x14ac:dyDescent="0.2">
      <c r="D80" s="128"/>
      <c r="E80" t="s">
        <v>19</v>
      </c>
      <c r="F80" s="64">
        <f t="shared" ref="F80" si="39">MONTH(D79)</f>
        <v>7</v>
      </c>
      <c r="G80" s="64">
        <f>IF(selected_period="Total Year",1,IF(selected_period=cc_month_number,1,0))</f>
        <v>0</v>
      </c>
      <c r="H80" s="64">
        <f t="shared" ref="H80" si="40">1*$E$50</f>
        <v>1</v>
      </c>
      <c r="I80" s="64">
        <f t="shared" si="3"/>
        <v>1</v>
      </c>
      <c r="J80" s="107" cm="1">
        <f t="array" ref="J80">SUM(Tracking[Amount]*(Tracking[Type]=cc_type)*(YEAR(Tracking[Effective Date])=selected_year)*(MONTH(Tracking[Effective Date])=cc_month_number))</f>
        <v>0</v>
      </c>
      <c r="K80" s="108" cm="1">
        <f t="array" aca="1" ref="K80" ca="1">INDEX('Budget Planning'!$E:$BU,income_total_row,MATCH(DATE(selected_year,cc_month_number,1),'Budget Planning'!$E$9:$BU$9,0))</f>
        <v>0</v>
      </c>
      <c r="L80" s="108">
        <f ca="1">cc_budget-cc_tracked</f>
        <v>0</v>
      </c>
      <c r="M80" s="105">
        <f ca="1">cc_in_focus*cc_show_type*MIN(cc_tracked,cc_budget)</f>
        <v>0</v>
      </c>
      <c r="N80" s="105">
        <f ca="1">cc_in_focus*cc_show_type*cc_show_remaining_budget*IF(cc_delta&gt;0,cc_delta,0)</f>
        <v>0</v>
      </c>
      <c r="O80" s="105">
        <f ca="1">cc_in_focus*cc_show_type*IF(cc_delta&lt;0,ABS(cc_delta),0)</f>
        <v>0</v>
      </c>
      <c r="P80" s="105">
        <f ca="1">NOT(cc_in_focus)*cc_show_type*MIN(cc_tracked,cc_budget)</f>
        <v>0</v>
      </c>
      <c r="Q80" s="105">
        <f ca="1">NOT(cc_in_focus)*cc_show_type*cc_show_remaining_budget*IF(cc_delta&gt;0,cc_delta,0)</f>
        <v>0</v>
      </c>
      <c r="R80" s="105">
        <f ca="1">NOT(cc_in_focus)*cc_show_type*IF(cc_delta&lt;0,ABS(cc_delta),0)</f>
        <v>0</v>
      </c>
    </row>
    <row r="81" spans="4:18" x14ac:dyDescent="0.2">
      <c r="D81" s="128"/>
      <c r="E81" t="s">
        <v>27</v>
      </c>
      <c r="F81" s="64">
        <f t="shared" ref="F81" si="41">MONTH(D79)</f>
        <v>7</v>
      </c>
      <c r="G81" s="64">
        <f>IF(selected_period="Total Year",1,IF(selected_period=cc_month_number,1,0))</f>
        <v>0</v>
      </c>
      <c r="H81" s="64">
        <f t="shared" ref="H81" si="42">1*$E$51</f>
        <v>1</v>
      </c>
      <c r="I81" s="64">
        <f t="shared" si="3"/>
        <v>1</v>
      </c>
      <c r="J81" s="107" cm="1">
        <f t="array" ref="J81">SUM(Tracking[Amount]*(Tracking[Type]=cc_type)*(YEAR(Tracking[Effective Date])=selected_year)*(MONTH(Tracking[Effective Date])=cc_month_number))</f>
        <v>0</v>
      </c>
      <c r="K81" s="108" cm="1">
        <f t="array" aca="1" ref="K81" ca="1">INDEX('Budget Planning'!$E:$BU,income_total_row,MATCH(DATE(selected_year,cc_month_number,1),'Budget Planning'!$E$9:$BU$9,0))</f>
        <v>0</v>
      </c>
      <c r="L81" s="108">
        <f ca="1">cc_budget-cc_tracked</f>
        <v>0</v>
      </c>
      <c r="M81" s="105">
        <f ca="1">cc_in_focus*cc_show_type*MIN(cc_tracked,cc_budget)</f>
        <v>0</v>
      </c>
      <c r="N81" s="105">
        <f ca="1">cc_in_focus*cc_show_type*cc_show_remaining_budget*IF(cc_delta&gt;0,cc_delta,0)</f>
        <v>0</v>
      </c>
      <c r="O81" s="105">
        <f ca="1">cc_in_focus*cc_show_type*IF(cc_delta&lt;0,ABS(cc_delta),0)</f>
        <v>0</v>
      </c>
      <c r="P81" s="105">
        <f ca="1">NOT(cc_in_focus)*cc_show_type*MIN(cc_tracked,cc_budget)</f>
        <v>0</v>
      </c>
      <c r="Q81" s="105">
        <f ca="1">NOT(cc_in_focus)*cc_show_type*cc_show_remaining_budget*IF(cc_delta&gt;0,cc_delta,0)</f>
        <v>0</v>
      </c>
      <c r="R81" s="105">
        <f ca="1">NOT(cc_in_focus)*cc_show_type*IF(cc_delta&lt;0,ABS(cc_delta),0)</f>
        <v>0</v>
      </c>
    </row>
    <row r="82" spans="4:18" x14ac:dyDescent="0.2">
      <c r="D82" s="129"/>
      <c r="E82" s="1"/>
      <c r="F82" s="1"/>
      <c r="G82" s="104"/>
      <c r="H82" s="104"/>
      <c r="I82" s="104"/>
      <c r="J82" s="109"/>
      <c r="K82" s="110"/>
      <c r="L82" s="110"/>
      <c r="M82" s="104"/>
      <c r="N82" s="1"/>
      <c r="O82" s="1"/>
      <c r="P82" s="1"/>
      <c r="Q82" s="1"/>
      <c r="R82" s="1"/>
    </row>
    <row r="83" spans="4:18" x14ac:dyDescent="0.2">
      <c r="D83" s="127">
        <f>DATE(selected_year,8,1)</f>
        <v>46235</v>
      </c>
      <c r="E83" s="103" t="s">
        <v>15</v>
      </c>
      <c r="F83" s="64">
        <f t="shared" ref="F83" si="43">MONTH(D83)</f>
        <v>8</v>
      </c>
      <c r="G83" s="64">
        <f>IF(selected_period="Total Year",1,IF(selected_period=cc_month_number,1,0))</f>
        <v>0</v>
      </c>
      <c r="H83" s="64">
        <f t="shared" ref="H83" si="44">1*$E$49</f>
        <v>1</v>
      </c>
      <c r="I83" s="64">
        <f t="shared" ref="I83" si="45">1*$E$52</f>
        <v>1</v>
      </c>
      <c r="J83" s="107" cm="1">
        <f t="array" ref="J83">SUM(Tracking[Amount]*(Tracking[Type]=cc_type)*(YEAR(Tracking[Effective Date])=selected_year)*(MONTH(Tracking[Effective Date])=cc_month_number))</f>
        <v>0</v>
      </c>
      <c r="K83" s="108" cm="1">
        <f t="array" aca="1" ref="K83" ca="1">INDEX('Budget Planning'!$E:$BU,income_total_row,MATCH(DATE(selected_year,cc_month_number,1),'Budget Planning'!$E$9:$BU$9,0))</f>
        <v>0</v>
      </c>
      <c r="L83" s="108">
        <f ca="1">cc_budget-cc_tracked</f>
        <v>0</v>
      </c>
      <c r="M83" s="105">
        <f ca="1">cc_in_focus*cc_show_type*MIN(cc_tracked,cc_budget)</f>
        <v>0</v>
      </c>
      <c r="N83" s="105">
        <f ca="1">cc_in_focus*cc_show_type*cc_show_remaining_budget*IF(cc_delta&gt;0,cc_delta,0)</f>
        <v>0</v>
      </c>
      <c r="O83" s="105">
        <f ca="1">cc_in_focus*cc_show_type*IF(cc_delta&lt;0,ABS(cc_delta),0)</f>
        <v>0</v>
      </c>
      <c r="P83" s="105">
        <f ca="1">NOT(cc_in_focus)*cc_show_type*MIN(cc_tracked,cc_budget)</f>
        <v>0</v>
      </c>
      <c r="Q83" s="105">
        <f ca="1">NOT(cc_in_focus)*cc_show_type*cc_show_remaining_budget*IF(cc_delta&gt;0,cc_delta,0)</f>
        <v>0</v>
      </c>
      <c r="R83" s="105">
        <f ca="1">NOT(cc_in_focus)*cc_show_type*IF(cc_delta&lt;0,ABS(cc_delta),0)</f>
        <v>0</v>
      </c>
    </row>
    <row r="84" spans="4:18" x14ac:dyDescent="0.2">
      <c r="D84" s="128"/>
      <c r="E84" t="s">
        <v>19</v>
      </c>
      <c r="F84" s="64">
        <f t="shared" ref="F84" si="46">MONTH(D83)</f>
        <v>8</v>
      </c>
      <c r="G84" s="64">
        <f>IF(selected_period="Total Year",1,IF(selected_period=cc_month_number,1,0))</f>
        <v>0</v>
      </c>
      <c r="H84" s="64">
        <f t="shared" ref="H84" si="47">1*$E$50</f>
        <v>1</v>
      </c>
      <c r="I84" s="64">
        <f t="shared" si="3"/>
        <v>1</v>
      </c>
      <c r="J84" s="107" cm="1">
        <f t="array" ref="J84">SUM(Tracking[Amount]*(Tracking[Type]=cc_type)*(YEAR(Tracking[Effective Date])=selected_year)*(MONTH(Tracking[Effective Date])=cc_month_number))</f>
        <v>0</v>
      </c>
      <c r="K84" s="108" cm="1">
        <f t="array" aca="1" ref="K84" ca="1">INDEX('Budget Planning'!$E:$BU,income_total_row,MATCH(DATE(selected_year,cc_month_number,1),'Budget Planning'!$E$9:$BU$9,0))</f>
        <v>0</v>
      </c>
      <c r="L84" s="108">
        <f ca="1">cc_budget-cc_tracked</f>
        <v>0</v>
      </c>
      <c r="M84" s="105">
        <f ca="1">cc_in_focus*cc_show_type*MIN(cc_tracked,cc_budget)</f>
        <v>0</v>
      </c>
      <c r="N84" s="105">
        <f ca="1">cc_in_focus*cc_show_type*cc_show_remaining_budget*IF(cc_delta&gt;0,cc_delta,0)</f>
        <v>0</v>
      </c>
      <c r="O84" s="105">
        <f ca="1">cc_in_focus*cc_show_type*IF(cc_delta&lt;0,ABS(cc_delta),0)</f>
        <v>0</v>
      </c>
      <c r="P84" s="105">
        <f ca="1">NOT(cc_in_focus)*cc_show_type*MIN(cc_tracked,cc_budget)</f>
        <v>0</v>
      </c>
      <c r="Q84" s="105">
        <f ca="1">NOT(cc_in_focus)*cc_show_type*cc_show_remaining_budget*IF(cc_delta&gt;0,cc_delta,0)</f>
        <v>0</v>
      </c>
      <c r="R84" s="105">
        <f ca="1">NOT(cc_in_focus)*cc_show_type*IF(cc_delta&lt;0,ABS(cc_delta),0)</f>
        <v>0</v>
      </c>
    </row>
    <row r="85" spans="4:18" x14ac:dyDescent="0.2">
      <c r="D85" s="128"/>
      <c r="E85" t="s">
        <v>27</v>
      </c>
      <c r="F85" s="64">
        <f t="shared" ref="F85" si="48">MONTH(D83)</f>
        <v>8</v>
      </c>
      <c r="G85" s="64">
        <f>IF(selected_period="Total Year",1,IF(selected_period=cc_month_number,1,0))</f>
        <v>0</v>
      </c>
      <c r="H85" s="64">
        <f t="shared" ref="H85" si="49">1*$E$51</f>
        <v>1</v>
      </c>
      <c r="I85" s="64">
        <f t="shared" si="3"/>
        <v>1</v>
      </c>
      <c r="J85" s="107" cm="1">
        <f t="array" ref="J85">SUM(Tracking[Amount]*(Tracking[Type]=cc_type)*(YEAR(Tracking[Effective Date])=selected_year)*(MONTH(Tracking[Effective Date])=cc_month_number))</f>
        <v>0</v>
      </c>
      <c r="K85" s="108" cm="1">
        <f t="array" aca="1" ref="K85" ca="1">INDEX('Budget Planning'!$E:$BU,income_total_row,MATCH(DATE(selected_year,cc_month_number,1),'Budget Planning'!$E$9:$BU$9,0))</f>
        <v>0</v>
      </c>
      <c r="L85" s="108">
        <f ca="1">cc_budget-cc_tracked</f>
        <v>0</v>
      </c>
      <c r="M85" s="105">
        <f ca="1">cc_in_focus*cc_show_type*MIN(cc_tracked,cc_budget)</f>
        <v>0</v>
      </c>
      <c r="N85" s="105">
        <f ca="1">cc_in_focus*cc_show_type*cc_show_remaining_budget*IF(cc_delta&gt;0,cc_delta,0)</f>
        <v>0</v>
      </c>
      <c r="O85" s="105">
        <f ca="1">cc_in_focus*cc_show_type*IF(cc_delta&lt;0,ABS(cc_delta),0)</f>
        <v>0</v>
      </c>
      <c r="P85" s="105">
        <f ca="1">NOT(cc_in_focus)*cc_show_type*MIN(cc_tracked,cc_budget)</f>
        <v>0</v>
      </c>
      <c r="Q85" s="105">
        <f ca="1">NOT(cc_in_focus)*cc_show_type*cc_show_remaining_budget*IF(cc_delta&gt;0,cc_delta,0)</f>
        <v>0</v>
      </c>
      <c r="R85" s="105">
        <f ca="1">NOT(cc_in_focus)*cc_show_type*IF(cc_delta&lt;0,ABS(cc_delta),0)</f>
        <v>0</v>
      </c>
    </row>
    <row r="86" spans="4:18" x14ac:dyDescent="0.2">
      <c r="D86" s="129"/>
      <c r="E86" s="1"/>
      <c r="F86" s="1"/>
      <c r="G86" s="104"/>
      <c r="H86" s="104"/>
      <c r="I86" s="104"/>
      <c r="J86" s="109"/>
      <c r="K86" s="110"/>
      <c r="L86" s="110"/>
      <c r="M86" s="104"/>
      <c r="N86" s="1"/>
      <c r="O86" s="1"/>
      <c r="P86" s="1"/>
      <c r="Q86" s="1"/>
      <c r="R86" s="1"/>
    </row>
    <row r="87" spans="4:18" x14ac:dyDescent="0.2">
      <c r="D87" s="127">
        <f>DATE(selected_year,9,1)</f>
        <v>46266</v>
      </c>
      <c r="E87" s="103" t="s">
        <v>15</v>
      </c>
      <c r="F87" s="64">
        <f t="shared" ref="F87" si="50">MONTH(D87)</f>
        <v>9</v>
      </c>
      <c r="G87" s="64">
        <f>IF(selected_period="Total Year",1,IF(selected_period=cc_month_number,1,0))</f>
        <v>0</v>
      </c>
      <c r="H87" s="64">
        <f t="shared" ref="H87" si="51">1*$E$49</f>
        <v>1</v>
      </c>
      <c r="I87" s="64">
        <f t="shared" ref="I87" si="52">1*$E$52</f>
        <v>1</v>
      </c>
      <c r="J87" s="107" cm="1">
        <f t="array" ref="J87">SUM(Tracking[Amount]*(Tracking[Type]=cc_type)*(YEAR(Tracking[Effective Date])=selected_year)*(MONTH(Tracking[Effective Date])=cc_month_number))</f>
        <v>0</v>
      </c>
      <c r="K87" s="108" cm="1">
        <f t="array" aca="1" ref="K87" ca="1">INDEX('Budget Planning'!$E:$BU,income_total_row,MATCH(DATE(selected_year,cc_month_number,1),'Budget Planning'!$E$9:$BU$9,0))</f>
        <v>0</v>
      </c>
      <c r="L87" s="108">
        <f ca="1">cc_budget-cc_tracked</f>
        <v>0</v>
      </c>
      <c r="M87" s="105">
        <f ca="1">cc_in_focus*cc_show_type*MIN(cc_tracked,cc_budget)</f>
        <v>0</v>
      </c>
      <c r="N87" s="105">
        <f ca="1">cc_in_focus*cc_show_type*cc_show_remaining_budget*IF(cc_delta&gt;0,cc_delta,0)</f>
        <v>0</v>
      </c>
      <c r="O87" s="105">
        <f ca="1">cc_in_focus*cc_show_type*IF(cc_delta&lt;0,ABS(cc_delta),0)</f>
        <v>0</v>
      </c>
      <c r="P87" s="105">
        <f ca="1">NOT(cc_in_focus)*cc_show_type*MIN(cc_tracked,cc_budget)</f>
        <v>0</v>
      </c>
      <c r="Q87" s="105">
        <f ca="1">NOT(cc_in_focus)*cc_show_type*cc_show_remaining_budget*IF(cc_delta&gt;0,cc_delta,0)</f>
        <v>0</v>
      </c>
      <c r="R87" s="105">
        <f ca="1">NOT(cc_in_focus)*cc_show_type*IF(cc_delta&lt;0,ABS(cc_delta),0)</f>
        <v>0</v>
      </c>
    </row>
    <row r="88" spans="4:18" x14ac:dyDescent="0.2">
      <c r="D88" s="128"/>
      <c r="E88" t="s">
        <v>19</v>
      </c>
      <c r="F88" s="64">
        <f t="shared" ref="F88" si="53">MONTH(D87)</f>
        <v>9</v>
      </c>
      <c r="G88" s="64">
        <f>IF(selected_period="Total Year",1,IF(selected_period=cc_month_number,1,0))</f>
        <v>0</v>
      </c>
      <c r="H88" s="64">
        <f t="shared" ref="H88" si="54">1*$E$50</f>
        <v>1</v>
      </c>
      <c r="I88" s="64">
        <f t="shared" si="3"/>
        <v>1</v>
      </c>
      <c r="J88" s="107" cm="1">
        <f t="array" ref="J88">SUM(Tracking[Amount]*(Tracking[Type]=cc_type)*(YEAR(Tracking[Effective Date])=selected_year)*(MONTH(Tracking[Effective Date])=cc_month_number))</f>
        <v>0</v>
      </c>
      <c r="K88" s="108" cm="1">
        <f t="array" aca="1" ref="K88" ca="1">INDEX('Budget Planning'!$E:$BU,income_total_row,MATCH(DATE(selected_year,cc_month_number,1),'Budget Planning'!$E$9:$BU$9,0))</f>
        <v>0</v>
      </c>
      <c r="L88" s="108">
        <f ca="1">cc_budget-cc_tracked</f>
        <v>0</v>
      </c>
      <c r="M88" s="105">
        <f ca="1">cc_in_focus*cc_show_type*MIN(cc_tracked,cc_budget)</f>
        <v>0</v>
      </c>
      <c r="N88" s="105">
        <f ca="1">cc_in_focus*cc_show_type*cc_show_remaining_budget*IF(cc_delta&gt;0,cc_delta,0)</f>
        <v>0</v>
      </c>
      <c r="O88" s="105">
        <f ca="1">cc_in_focus*cc_show_type*IF(cc_delta&lt;0,ABS(cc_delta),0)</f>
        <v>0</v>
      </c>
      <c r="P88" s="105">
        <f ca="1">NOT(cc_in_focus)*cc_show_type*MIN(cc_tracked,cc_budget)</f>
        <v>0</v>
      </c>
      <c r="Q88" s="105">
        <f ca="1">NOT(cc_in_focus)*cc_show_type*cc_show_remaining_budget*IF(cc_delta&gt;0,cc_delta,0)</f>
        <v>0</v>
      </c>
      <c r="R88" s="105">
        <f ca="1">NOT(cc_in_focus)*cc_show_type*IF(cc_delta&lt;0,ABS(cc_delta),0)</f>
        <v>0</v>
      </c>
    </row>
    <row r="89" spans="4:18" x14ac:dyDescent="0.2">
      <c r="D89" s="128"/>
      <c r="E89" t="s">
        <v>27</v>
      </c>
      <c r="F89" s="64">
        <f t="shared" ref="F89" si="55">MONTH(D87)</f>
        <v>9</v>
      </c>
      <c r="G89" s="64">
        <f>IF(selected_period="Total Year",1,IF(selected_period=cc_month_number,1,0))</f>
        <v>0</v>
      </c>
      <c r="H89" s="64">
        <f t="shared" ref="H89" si="56">1*$E$51</f>
        <v>1</v>
      </c>
      <c r="I89" s="64">
        <f t="shared" si="3"/>
        <v>1</v>
      </c>
      <c r="J89" s="107" cm="1">
        <f t="array" ref="J89">SUM(Tracking[Amount]*(Tracking[Type]=cc_type)*(YEAR(Tracking[Effective Date])=selected_year)*(MONTH(Tracking[Effective Date])=cc_month_number))</f>
        <v>0</v>
      </c>
      <c r="K89" s="108" cm="1">
        <f t="array" aca="1" ref="K89" ca="1">INDEX('Budget Planning'!$E:$BU,income_total_row,MATCH(DATE(selected_year,cc_month_number,1),'Budget Planning'!$E$9:$BU$9,0))</f>
        <v>0</v>
      </c>
      <c r="L89" s="108">
        <f ca="1">cc_budget-cc_tracked</f>
        <v>0</v>
      </c>
      <c r="M89" s="105">
        <f ca="1">cc_in_focus*cc_show_type*MIN(cc_tracked,cc_budget)</f>
        <v>0</v>
      </c>
      <c r="N89" s="105">
        <f ca="1">cc_in_focus*cc_show_type*cc_show_remaining_budget*IF(cc_delta&gt;0,cc_delta,0)</f>
        <v>0</v>
      </c>
      <c r="O89" s="105">
        <f ca="1">cc_in_focus*cc_show_type*IF(cc_delta&lt;0,ABS(cc_delta),0)</f>
        <v>0</v>
      </c>
      <c r="P89" s="105">
        <f ca="1">NOT(cc_in_focus)*cc_show_type*MIN(cc_tracked,cc_budget)</f>
        <v>0</v>
      </c>
      <c r="Q89" s="105">
        <f ca="1">NOT(cc_in_focus)*cc_show_type*cc_show_remaining_budget*IF(cc_delta&gt;0,cc_delta,0)</f>
        <v>0</v>
      </c>
      <c r="R89" s="105">
        <f ca="1">NOT(cc_in_focus)*cc_show_type*IF(cc_delta&lt;0,ABS(cc_delta),0)</f>
        <v>0</v>
      </c>
    </row>
    <row r="90" spans="4:18" x14ac:dyDescent="0.2">
      <c r="D90" s="129"/>
      <c r="E90" s="1"/>
      <c r="F90" s="1"/>
      <c r="G90" s="104"/>
      <c r="H90" s="104"/>
      <c r="I90" s="104"/>
      <c r="J90" s="109"/>
      <c r="K90" s="110"/>
      <c r="L90" s="110"/>
      <c r="M90" s="104"/>
      <c r="N90" s="1"/>
      <c r="O90" s="1"/>
      <c r="P90" s="1"/>
      <c r="Q90" s="1"/>
      <c r="R90" s="1"/>
    </row>
    <row r="91" spans="4:18" x14ac:dyDescent="0.2">
      <c r="D91" s="127">
        <f>DATE(selected_year,10,1)</f>
        <v>46296</v>
      </c>
      <c r="E91" s="103" t="s">
        <v>15</v>
      </c>
      <c r="F91" s="64">
        <f t="shared" ref="F91" si="57">MONTH(D91)</f>
        <v>10</v>
      </c>
      <c r="G91" s="64">
        <f>IF(selected_period="Total Year",1,IF(selected_period=cc_month_number,1,0))</f>
        <v>0</v>
      </c>
      <c r="H91" s="64">
        <f t="shared" ref="H91" si="58">1*$E$49</f>
        <v>1</v>
      </c>
      <c r="I91" s="64">
        <f t="shared" ref="I91" si="59">1*$E$52</f>
        <v>1</v>
      </c>
      <c r="J91" s="107" cm="1">
        <f t="array" ref="J91">SUM(Tracking[Amount]*(Tracking[Type]=cc_type)*(YEAR(Tracking[Effective Date])=selected_year)*(MONTH(Tracking[Effective Date])=cc_month_number))</f>
        <v>0</v>
      </c>
      <c r="K91" s="108" cm="1">
        <f t="array" aca="1" ref="K91" ca="1">INDEX('Budget Planning'!$E:$BU,income_total_row,MATCH(DATE(selected_year,cc_month_number,1),'Budget Planning'!$E$9:$BU$9,0))</f>
        <v>0</v>
      </c>
      <c r="L91" s="108">
        <f ca="1">cc_budget-cc_tracked</f>
        <v>0</v>
      </c>
      <c r="M91" s="105">
        <f ca="1">cc_in_focus*cc_show_type*MIN(cc_tracked,cc_budget)</f>
        <v>0</v>
      </c>
      <c r="N91" s="105">
        <f ca="1">cc_in_focus*cc_show_type*cc_show_remaining_budget*IF(cc_delta&gt;0,cc_delta,0)</f>
        <v>0</v>
      </c>
      <c r="O91" s="105">
        <f ca="1">cc_in_focus*cc_show_type*IF(cc_delta&lt;0,ABS(cc_delta),0)</f>
        <v>0</v>
      </c>
      <c r="P91" s="105">
        <f ca="1">NOT(cc_in_focus)*cc_show_type*MIN(cc_tracked,cc_budget)</f>
        <v>0</v>
      </c>
      <c r="Q91" s="105">
        <f ca="1">NOT(cc_in_focus)*cc_show_type*cc_show_remaining_budget*IF(cc_delta&gt;0,cc_delta,0)</f>
        <v>0</v>
      </c>
      <c r="R91" s="105">
        <f ca="1">NOT(cc_in_focus)*cc_show_type*IF(cc_delta&lt;0,ABS(cc_delta),0)</f>
        <v>0</v>
      </c>
    </row>
    <row r="92" spans="4:18" x14ac:dyDescent="0.2">
      <c r="D92" s="128"/>
      <c r="E92" t="s">
        <v>19</v>
      </c>
      <c r="F92" s="64">
        <f t="shared" ref="F92" si="60">MONTH(D91)</f>
        <v>10</v>
      </c>
      <c r="G92" s="64">
        <f>IF(selected_period="Total Year",1,IF(selected_period=cc_month_number,1,0))</f>
        <v>0</v>
      </c>
      <c r="H92" s="64">
        <f t="shared" ref="H92" si="61">1*$E$50</f>
        <v>1</v>
      </c>
      <c r="I92" s="64">
        <f t="shared" si="3"/>
        <v>1</v>
      </c>
      <c r="J92" s="107" cm="1">
        <f t="array" ref="J92">SUM(Tracking[Amount]*(Tracking[Type]=cc_type)*(YEAR(Tracking[Effective Date])=selected_year)*(MONTH(Tracking[Effective Date])=cc_month_number))</f>
        <v>0</v>
      </c>
      <c r="K92" s="108" cm="1">
        <f t="array" aca="1" ref="K92" ca="1">INDEX('Budget Planning'!$E:$BU,income_total_row,MATCH(DATE(selected_year,cc_month_number,1),'Budget Planning'!$E$9:$BU$9,0))</f>
        <v>0</v>
      </c>
      <c r="L92" s="108">
        <f ca="1">cc_budget-cc_tracked</f>
        <v>0</v>
      </c>
      <c r="M92" s="105">
        <f ca="1">cc_in_focus*cc_show_type*MIN(cc_tracked,cc_budget)</f>
        <v>0</v>
      </c>
      <c r="N92" s="105">
        <f ca="1">cc_in_focus*cc_show_type*cc_show_remaining_budget*IF(cc_delta&gt;0,cc_delta,0)</f>
        <v>0</v>
      </c>
      <c r="O92" s="105">
        <f ca="1">cc_in_focus*cc_show_type*IF(cc_delta&lt;0,ABS(cc_delta),0)</f>
        <v>0</v>
      </c>
      <c r="P92" s="105">
        <f ca="1">NOT(cc_in_focus)*cc_show_type*MIN(cc_tracked,cc_budget)</f>
        <v>0</v>
      </c>
      <c r="Q92" s="105">
        <f ca="1">NOT(cc_in_focus)*cc_show_type*cc_show_remaining_budget*IF(cc_delta&gt;0,cc_delta,0)</f>
        <v>0</v>
      </c>
      <c r="R92" s="105">
        <f ca="1">NOT(cc_in_focus)*cc_show_type*IF(cc_delta&lt;0,ABS(cc_delta),0)</f>
        <v>0</v>
      </c>
    </row>
    <row r="93" spans="4:18" x14ac:dyDescent="0.2">
      <c r="D93" s="128"/>
      <c r="E93" t="s">
        <v>27</v>
      </c>
      <c r="F93" s="64">
        <f t="shared" ref="F93" si="62">MONTH(D91)</f>
        <v>10</v>
      </c>
      <c r="G93" s="64">
        <f>IF(selected_period="Total Year",1,IF(selected_period=cc_month_number,1,0))</f>
        <v>0</v>
      </c>
      <c r="H93" s="64">
        <f t="shared" ref="H93" si="63">1*$E$51</f>
        <v>1</v>
      </c>
      <c r="I93" s="64">
        <f t="shared" si="3"/>
        <v>1</v>
      </c>
      <c r="J93" s="107" cm="1">
        <f t="array" ref="J93">SUM(Tracking[Amount]*(Tracking[Type]=cc_type)*(YEAR(Tracking[Effective Date])=selected_year)*(MONTH(Tracking[Effective Date])=cc_month_number))</f>
        <v>0</v>
      </c>
      <c r="K93" s="108" cm="1">
        <f t="array" aca="1" ref="K93" ca="1">INDEX('Budget Planning'!$E:$BU,income_total_row,MATCH(DATE(selected_year,cc_month_number,1),'Budget Planning'!$E$9:$BU$9,0))</f>
        <v>0</v>
      </c>
      <c r="L93" s="108">
        <f ca="1">cc_budget-cc_tracked</f>
        <v>0</v>
      </c>
      <c r="M93" s="105">
        <f ca="1">cc_in_focus*cc_show_type*MIN(cc_tracked,cc_budget)</f>
        <v>0</v>
      </c>
      <c r="N93" s="105">
        <f ca="1">cc_in_focus*cc_show_type*cc_show_remaining_budget*IF(cc_delta&gt;0,cc_delta,0)</f>
        <v>0</v>
      </c>
      <c r="O93" s="105">
        <f ca="1">cc_in_focus*cc_show_type*IF(cc_delta&lt;0,ABS(cc_delta),0)</f>
        <v>0</v>
      </c>
      <c r="P93" s="105">
        <f ca="1">NOT(cc_in_focus)*cc_show_type*MIN(cc_tracked,cc_budget)</f>
        <v>0</v>
      </c>
      <c r="Q93" s="105">
        <f ca="1">NOT(cc_in_focus)*cc_show_type*cc_show_remaining_budget*IF(cc_delta&gt;0,cc_delta,0)</f>
        <v>0</v>
      </c>
      <c r="R93" s="105">
        <f ca="1">NOT(cc_in_focus)*cc_show_type*IF(cc_delta&lt;0,ABS(cc_delta),0)</f>
        <v>0</v>
      </c>
    </row>
    <row r="94" spans="4:18" x14ac:dyDescent="0.2">
      <c r="D94" s="129"/>
      <c r="E94" s="1"/>
      <c r="F94" s="1"/>
      <c r="G94" s="104"/>
      <c r="H94" s="104"/>
      <c r="I94" s="104"/>
      <c r="J94" s="109"/>
      <c r="K94" s="110"/>
      <c r="L94" s="110"/>
      <c r="M94" s="104"/>
      <c r="N94" s="1"/>
      <c r="O94" s="1"/>
      <c r="P94" s="1"/>
      <c r="Q94" s="1"/>
      <c r="R94" s="1"/>
    </row>
    <row r="95" spans="4:18" x14ac:dyDescent="0.2">
      <c r="D95" s="127">
        <f>DATE(selected_year,11,1)</f>
        <v>46327</v>
      </c>
      <c r="E95" s="103" t="s">
        <v>15</v>
      </c>
      <c r="F95" s="64">
        <f t="shared" ref="F95" si="64">MONTH(D95)</f>
        <v>11</v>
      </c>
      <c r="G95" s="64">
        <f>IF(selected_period="Total Year",1,IF(selected_period=cc_month_number,1,0))</f>
        <v>0</v>
      </c>
      <c r="H95" s="64">
        <f t="shared" ref="H95" si="65">1*$E$49</f>
        <v>1</v>
      </c>
      <c r="I95" s="64">
        <f t="shared" ref="I95" si="66">1*$E$52</f>
        <v>1</v>
      </c>
      <c r="J95" s="107" cm="1">
        <f t="array" ref="J95">SUM(Tracking[Amount]*(Tracking[Type]=cc_type)*(YEAR(Tracking[Effective Date])=selected_year)*(MONTH(Tracking[Effective Date])=cc_month_number))</f>
        <v>0</v>
      </c>
      <c r="K95" s="108" cm="1">
        <f t="array" aca="1" ref="K95" ca="1">INDEX('Budget Planning'!$E:$BU,income_total_row,MATCH(DATE(selected_year,cc_month_number,1),'Budget Planning'!$E$9:$BU$9,0))</f>
        <v>0</v>
      </c>
      <c r="L95" s="108">
        <f ca="1">cc_budget-cc_tracked</f>
        <v>0</v>
      </c>
      <c r="M95" s="105">
        <f ca="1">cc_in_focus*cc_show_type*MIN(cc_tracked,cc_budget)</f>
        <v>0</v>
      </c>
      <c r="N95" s="105">
        <f ca="1">cc_in_focus*cc_show_type*cc_show_remaining_budget*IF(cc_delta&gt;0,cc_delta,0)</f>
        <v>0</v>
      </c>
      <c r="O95" s="105">
        <f ca="1">cc_in_focus*cc_show_type*IF(cc_delta&lt;0,ABS(cc_delta),0)</f>
        <v>0</v>
      </c>
      <c r="P95" s="105">
        <f ca="1">NOT(cc_in_focus)*cc_show_type*MIN(cc_tracked,cc_budget)</f>
        <v>0</v>
      </c>
      <c r="Q95" s="105">
        <f ca="1">NOT(cc_in_focus)*cc_show_type*cc_show_remaining_budget*IF(cc_delta&gt;0,cc_delta,0)</f>
        <v>0</v>
      </c>
      <c r="R95" s="105">
        <f ca="1">NOT(cc_in_focus)*cc_show_type*IF(cc_delta&lt;0,ABS(cc_delta),0)</f>
        <v>0</v>
      </c>
    </row>
    <row r="96" spans="4:18" x14ac:dyDescent="0.2">
      <c r="D96" s="128"/>
      <c r="E96" t="s">
        <v>19</v>
      </c>
      <c r="F96" s="64">
        <f t="shared" ref="F96" si="67">MONTH(D95)</f>
        <v>11</v>
      </c>
      <c r="G96" s="64">
        <f>IF(selected_period="Total Year",1,IF(selected_period=cc_month_number,1,0))</f>
        <v>0</v>
      </c>
      <c r="H96" s="64">
        <f t="shared" ref="H96" si="68">1*$E$50</f>
        <v>1</v>
      </c>
      <c r="I96" s="64">
        <f t="shared" si="3"/>
        <v>1</v>
      </c>
      <c r="J96" s="107" cm="1">
        <f t="array" ref="J96">SUM(Tracking[Amount]*(Tracking[Type]=cc_type)*(YEAR(Tracking[Effective Date])=selected_year)*(MONTH(Tracking[Effective Date])=cc_month_number))</f>
        <v>0</v>
      </c>
      <c r="K96" s="108" cm="1">
        <f t="array" aca="1" ref="K96" ca="1">INDEX('Budget Planning'!$E:$BU,income_total_row,MATCH(DATE(selected_year,cc_month_number,1),'Budget Planning'!$E$9:$BU$9,0))</f>
        <v>0</v>
      </c>
      <c r="L96" s="108">
        <f ca="1">cc_budget-cc_tracked</f>
        <v>0</v>
      </c>
      <c r="M96" s="105">
        <f ca="1">cc_in_focus*cc_show_type*MIN(cc_tracked,cc_budget)</f>
        <v>0</v>
      </c>
      <c r="N96" s="105">
        <f ca="1">cc_in_focus*cc_show_type*cc_show_remaining_budget*IF(cc_delta&gt;0,cc_delta,0)</f>
        <v>0</v>
      </c>
      <c r="O96" s="105">
        <f ca="1">cc_in_focus*cc_show_type*IF(cc_delta&lt;0,ABS(cc_delta),0)</f>
        <v>0</v>
      </c>
      <c r="P96" s="105">
        <f ca="1">NOT(cc_in_focus)*cc_show_type*MIN(cc_tracked,cc_budget)</f>
        <v>0</v>
      </c>
      <c r="Q96" s="105">
        <f ca="1">NOT(cc_in_focus)*cc_show_type*cc_show_remaining_budget*IF(cc_delta&gt;0,cc_delta,0)</f>
        <v>0</v>
      </c>
      <c r="R96" s="105">
        <f ca="1">NOT(cc_in_focus)*cc_show_type*IF(cc_delta&lt;0,ABS(cc_delta),0)</f>
        <v>0</v>
      </c>
    </row>
    <row r="97" spans="4:18" x14ac:dyDescent="0.2">
      <c r="D97" s="128"/>
      <c r="E97" t="s">
        <v>27</v>
      </c>
      <c r="F97" s="64">
        <f t="shared" ref="F97" si="69">MONTH(D95)</f>
        <v>11</v>
      </c>
      <c r="G97" s="64">
        <f>IF(selected_period="Total Year",1,IF(selected_period=cc_month_number,1,0))</f>
        <v>0</v>
      </c>
      <c r="H97" s="64">
        <f t="shared" ref="H97" si="70">1*$E$51</f>
        <v>1</v>
      </c>
      <c r="I97" s="64">
        <f t="shared" si="3"/>
        <v>1</v>
      </c>
      <c r="J97" s="107" cm="1">
        <f t="array" ref="J97">SUM(Tracking[Amount]*(Tracking[Type]=cc_type)*(YEAR(Tracking[Effective Date])=selected_year)*(MONTH(Tracking[Effective Date])=cc_month_number))</f>
        <v>0</v>
      </c>
      <c r="K97" s="108" cm="1">
        <f t="array" aca="1" ref="K97" ca="1">INDEX('Budget Planning'!$E:$BU,income_total_row,MATCH(DATE(selected_year,cc_month_number,1),'Budget Planning'!$E$9:$BU$9,0))</f>
        <v>0</v>
      </c>
      <c r="L97" s="108">
        <f ca="1">cc_budget-cc_tracked</f>
        <v>0</v>
      </c>
      <c r="M97" s="105">
        <f ca="1">cc_in_focus*cc_show_type*MIN(cc_tracked,cc_budget)</f>
        <v>0</v>
      </c>
      <c r="N97" s="105">
        <f ca="1">cc_in_focus*cc_show_type*cc_show_remaining_budget*IF(cc_delta&gt;0,cc_delta,0)</f>
        <v>0</v>
      </c>
      <c r="O97" s="105">
        <f ca="1">cc_in_focus*cc_show_type*IF(cc_delta&lt;0,ABS(cc_delta),0)</f>
        <v>0</v>
      </c>
      <c r="P97" s="105">
        <f ca="1">NOT(cc_in_focus)*cc_show_type*MIN(cc_tracked,cc_budget)</f>
        <v>0</v>
      </c>
      <c r="Q97" s="105">
        <f ca="1">NOT(cc_in_focus)*cc_show_type*cc_show_remaining_budget*IF(cc_delta&gt;0,cc_delta,0)</f>
        <v>0</v>
      </c>
      <c r="R97" s="105">
        <f ca="1">NOT(cc_in_focus)*cc_show_type*IF(cc_delta&lt;0,ABS(cc_delta),0)</f>
        <v>0</v>
      </c>
    </row>
    <row r="98" spans="4:18" x14ac:dyDescent="0.2">
      <c r="D98" s="129"/>
      <c r="E98" s="1"/>
      <c r="F98" s="1"/>
      <c r="G98" s="104"/>
      <c r="H98" s="104"/>
      <c r="I98" s="104"/>
      <c r="J98" s="109"/>
      <c r="K98" s="110"/>
      <c r="L98" s="110"/>
      <c r="M98" s="104"/>
      <c r="N98" s="1"/>
      <c r="O98" s="1"/>
      <c r="P98" s="1"/>
      <c r="Q98" s="1"/>
      <c r="R98" s="1"/>
    </row>
    <row r="99" spans="4:18" x14ac:dyDescent="0.2">
      <c r="D99" s="127">
        <f>DATE(selected_year,12,1)</f>
        <v>46357</v>
      </c>
      <c r="E99" s="103" t="s">
        <v>15</v>
      </c>
      <c r="F99" s="64">
        <f t="shared" ref="F99" si="71">MONTH(D99)</f>
        <v>12</v>
      </c>
      <c r="G99" s="64">
        <f>IF(selected_period="Total Year",1,IF(selected_period=cc_month_number,1,0))</f>
        <v>0</v>
      </c>
      <c r="H99" s="64">
        <f t="shared" ref="H99" si="72">1*$E$49</f>
        <v>1</v>
      </c>
      <c r="I99" s="64">
        <f t="shared" ref="I99" si="73">1*$E$52</f>
        <v>1</v>
      </c>
      <c r="J99" s="107" cm="1">
        <f t="array" ref="J99">SUM(Tracking[Amount]*(Tracking[Type]=cc_type)*(YEAR(Tracking[Effective Date])=selected_year)*(MONTH(Tracking[Effective Date])=cc_month_number))</f>
        <v>0</v>
      </c>
      <c r="K99" s="108" cm="1">
        <f t="array" aca="1" ref="K99" ca="1">INDEX('Budget Planning'!$E:$BU,income_total_row,MATCH(DATE(selected_year,cc_month_number,1),'Budget Planning'!$E$9:$BU$9,0))</f>
        <v>0</v>
      </c>
      <c r="L99" s="108">
        <f ca="1">cc_budget-cc_tracked</f>
        <v>0</v>
      </c>
      <c r="M99" s="105">
        <f ca="1">cc_in_focus*cc_show_type*MIN(cc_tracked,cc_budget)</f>
        <v>0</v>
      </c>
      <c r="N99" s="105">
        <f ca="1">cc_in_focus*cc_show_type*cc_show_remaining_budget*IF(cc_delta&gt;0,cc_delta,0)</f>
        <v>0</v>
      </c>
      <c r="O99" s="105">
        <f ca="1">cc_in_focus*cc_show_type*IF(cc_delta&lt;0,ABS(cc_delta),0)</f>
        <v>0</v>
      </c>
      <c r="P99" s="105">
        <f ca="1">NOT(cc_in_focus)*cc_show_type*MIN(cc_tracked,cc_budget)</f>
        <v>0</v>
      </c>
      <c r="Q99" s="105">
        <f ca="1">NOT(cc_in_focus)*cc_show_type*cc_show_remaining_budget*IF(cc_delta&gt;0,cc_delta,0)</f>
        <v>0</v>
      </c>
      <c r="R99" s="105">
        <f ca="1">NOT(cc_in_focus)*cc_show_type*IF(cc_delta&lt;0,ABS(cc_delta),0)</f>
        <v>0</v>
      </c>
    </row>
    <row r="100" spans="4:18" x14ac:dyDescent="0.2">
      <c r="D100" s="128"/>
      <c r="E100" t="s">
        <v>19</v>
      </c>
      <c r="F100" s="64">
        <f t="shared" ref="F100" si="74">MONTH(D99)</f>
        <v>12</v>
      </c>
      <c r="G100" s="64">
        <f>IF(selected_period="Total Year",1,IF(selected_period=cc_month_number,1,0))</f>
        <v>0</v>
      </c>
      <c r="H100" s="64">
        <f t="shared" ref="H100" si="75">1*$E$50</f>
        <v>1</v>
      </c>
      <c r="I100" s="64">
        <f t="shared" si="3"/>
        <v>1</v>
      </c>
      <c r="J100" s="107" cm="1">
        <f t="array" ref="J100">SUM(Tracking[Amount]*(Tracking[Type]=cc_type)*(YEAR(Tracking[Effective Date])=selected_year)*(MONTH(Tracking[Effective Date])=cc_month_number))</f>
        <v>0</v>
      </c>
      <c r="K100" s="108" cm="1">
        <f t="array" aca="1" ref="K100" ca="1">INDEX('Budget Planning'!$E:$BU,income_total_row,MATCH(DATE(selected_year,cc_month_number,1),'Budget Planning'!$E$9:$BU$9,0))</f>
        <v>0</v>
      </c>
      <c r="L100" s="108">
        <f ca="1">cc_budget-cc_tracked</f>
        <v>0</v>
      </c>
      <c r="M100" s="105">
        <f ca="1">cc_in_focus*cc_show_type*MIN(cc_tracked,cc_budget)</f>
        <v>0</v>
      </c>
      <c r="N100" s="105">
        <f ca="1">cc_in_focus*cc_show_type*cc_show_remaining_budget*IF(cc_delta&gt;0,cc_delta,0)</f>
        <v>0</v>
      </c>
      <c r="O100" s="105">
        <f ca="1">cc_in_focus*cc_show_type*IF(cc_delta&lt;0,ABS(cc_delta),0)</f>
        <v>0</v>
      </c>
      <c r="P100" s="105">
        <f ca="1">NOT(cc_in_focus)*cc_show_type*MIN(cc_tracked,cc_budget)</f>
        <v>0</v>
      </c>
      <c r="Q100" s="105">
        <f ca="1">NOT(cc_in_focus)*cc_show_type*cc_show_remaining_budget*IF(cc_delta&gt;0,cc_delta,0)</f>
        <v>0</v>
      </c>
      <c r="R100" s="105">
        <f ca="1">NOT(cc_in_focus)*cc_show_type*IF(cc_delta&lt;0,ABS(cc_delta),0)</f>
        <v>0</v>
      </c>
    </row>
    <row r="101" spans="4:18" x14ac:dyDescent="0.2">
      <c r="D101" s="128"/>
      <c r="E101" t="s">
        <v>27</v>
      </c>
      <c r="F101" s="64">
        <f t="shared" ref="F101" si="76">MONTH(D99)</f>
        <v>12</v>
      </c>
      <c r="G101" s="64">
        <f>IF(selected_period="Total Year",1,IF(selected_period=cc_month_number,1,0))</f>
        <v>0</v>
      </c>
      <c r="H101" s="64">
        <f t="shared" ref="H101" si="77">1*$E$51</f>
        <v>1</v>
      </c>
      <c r="I101" s="64">
        <f t="shared" si="3"/>
        <v>1</v>
      </c>
      <c r="J101" s="107" cm="1">
        <f t="array" ref="J101">SUM(Tracking[Amount]*(Tracking[Type]=cc_type)*(YEAR(Tracking[Effective Date])=selected_year)*(MONTH(Tracking[Effective Date])=cc_month_number))</f>
        <v>0</v>
      </c>
      <c r="K101" s="108" cm="1">
        <f t="array" aca="1" ref="K101" ca="1">INDEX('Budget Planning'!$E:$BU,income_total_row,MATCH(DATE(selected_year,cc_month_number,1),'Budget Planning'!$E$9:$BU$9,0))</f>
        <v>0</v>
      </c>
      <c r="L101" s="108">
        <f ca="1">cc_budget-cc_tracked</f>
        <v>0</v>
      </c>
      <c r="M101" s="105">
        <f ca="1">cc_in_focus*cc_show_type*MIN(cc_tracked,cc_budget)</f>
        <v>0</v>
      </c>
      <c r="N101" s="105">
        <f ca="1">cc_in_focus*cc_show_type*cc_show_remaining_budget*IF(cc_delta&gt;0,cc_delta,0)</f>
        <v>0</v>
      </c>
      <c r="O101" s="105">
        <f ca="1">cc_in_focus*cc_show_type*IF(cc_delta&lt;0,ABS(cc_delta),0)</f>
        <v>0</v>
      </c>
      <c r="P101" s="105">
        <f ca="1">NOT(cc_in_focus)*cc_show_type*MIN(cc_tracked,cc_budget)</f>
        <v>0</v>
      </c>
      <c r="Q101" s="105">
        <f ca="1">NOT(cc_in_focus)*cc_show_type*cc_show_remaining_budget*IF(cc_delta&gt;0,cc_delta,0)</f>
        <v>0</v>
      </c>
      <c r="R101" s="105">
        <f ca="1">NOT(cc_in_focus)*cc_show_type*IF(cc_delta&lt;0,ABS(cc_delta),0)</f>
        <v>0</v>
      </c>
    </row>
    <row r="102" spans="4:18" x14ac:dyDescent="0.2">
      <c r="D102" s="129"/>
      <c r="E102" s="1"/>
      <c r="F102" s="1"/>
      <c r="G102" s="104"/>
      <c r="H102" s="104"/>
      <c r="I102" s="104"/>
      <c r="J102" s="109"/>
      <c r="K102" s="110"/>
      <c r="L102" s="110"/>
      <c r="M102" s="104"/>
      <c r="N102" s="1"/>
      <c r="O102" s="1"/>
      <c r="P102" s="1"/>
      <c r="Q102" s="1"/>
      <c r="R102" s="1"/>
    </row>
  </sheetData>
  <mergeCells count="16">
    <mergeCell ref="D16:E16"/>
    <mergeCell ref="C6:E6"/>
    <mergeCell ref="M53:O53"/>
    <mergeCell ref="P53:R53"/>
    <mergeCell ref="D55:D58"/>
    <mergeCell ref="D59:D62"/>
    <mergeCell ref="D63:D66"/>
    <mergeCell ref="D67:D70"/>
    <mergeCell ref="D71:D74"/>
    <mergeCell ref="D95:D98"/>
    <mergeCell ref="D99:D102"/>
    <mergeCell ref="D75:D78"/>
    <mergeCell ref="D79:D82"/>
    <mergeCell ref="D83:D86"/>
    <mergeCell ref="D87:D90"/>
    <mergeCell ref="D91:D9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07974-1754-4275-8D49-CB2E4DB0B75B}">
  <sheetPr>
    <tabColor theme="4" tint="-0.499984740745262"/>
  </sheetPr>
  <dimension ref="A1:E22"/>
  <sheetViews>
    <sheetView showGridLines="0" topLeftCell="A3" workbookViewId="0">
      <selection activeCell="M21" sqref="M21"/>
    </sheetView>
  </sheetViews>
  <sheetFormatPr baseColWidth="10" defaultColWidth="8.83203125" defaultRowHeight="15" x14ac:dyDescent="0.2"/>
  <cols>
    <col min="1" max="1" width="4.5" customWidth="1"/>
    <col min="2" max="2" width="2.5" customWidth="1"/>
    <col min="3" max="3" width="16.1640625" customWidth="1"/>
    <col min="5" max="5" width="16.5" customWidth="1"/>
  </cols>
  <sheetData>
    <row r="1" spans="1:5" s="45" customFormat="1" ht="4" customHeight="1" x14ac:dyDescent="0.2"/>
    <row r="2" spans="1:5" s="45" customFormat="1" ht="37" x14ac:dyDescent="0.5">
      <c r="A2" s="46" t="s">
        <v>101</v>
      </c>
    </row>
    <row r="3" spans="1:5" s="45" customFormat="1" ht="7.5" customHeight="1" x14ac:dyDescent="0.2"/>
    <row r="7" spans="1:5" x14ac:dyDescent="0.2">
      <c r="C7" s="118" t="s">
        <v>102</v>
      </c>
      <c r="E7" s="118" t="s">
        <v>103</v>
      </c>
    </row>
    <row r="8" spans="1:5" x14ac:dyDescent="0.2">
      <c r="C8" s="48" t="s">
        <v>104</v>
      </c>
      <c r="E8" s="48" t="s">
        <v>105</v>
      </c>
    </row>
    <row r="9" spans="1:5" x14ac:dyDescent="0.2">
      <c r="C9" s="48">
        <f>starting_year</f>
        <v>2026</v>
      </c>
      <c r="E9" s="48" t="s">
        <v>106</v>
      </c>
    </row>
    <row r="10" spans="1:5" x14ac:dyDescent="0.2">
      <c r="C10" s="48">
        <f>C9+1</f>
        <v>2027</v>
      </c>
      <c r="E10" s="50">
        <v>36526</v>
      </c>
    </row>
    <row r="11" spans="1:5" x14ac:dyDescent="0.2">
      <c r="C11" s="48">
        <f>C10+1</f>
        <v>2028</v>
      </c>
      <c r="E11" s="50">
        <v>36557</v>
      </c>
    </row>
    <row r="12" spans="1:5" x14ac:dyDescent="0.2">
      <c r="B12" s="47"/>
      <c r="C12" s="48">
        <f>C11+1</f>
        <v>2029</v>
      </c>
      <c r="E12" s="50">
        <v>36586</v>
      </c>
    </row>
    <row r="13" spans="1:5" x14ac:dyDescent="0.2">
      <c r="B13" s="47"/>
      <c r="C13" s="49">
        <f>C12+1</f>
        <v>2030</v>
      </c>
      <c r="E13" s="50">
        <v>36617</v>
      </c>
    </row>
    <row r="14" spans="1:5" x14ac:dyDescent="0.2">
      <c r="B14" s="47"/>
      <c r="C14" s="47"/>
      <c r="E14" s="50">
        <v>36647</v>
      </c>
    </row>
    <row r="15" spans="1:5" x14ac:dyDescent="0.2">
      <c r="B15" s="47"/>
      <c r="C15" s="47"/>
      <c r="E15" s="50">
        <v>36678</v>
      </c>
    </row>
    <row r="16" spans="1:5" x14ac:dyDescent="0.2">
      <c r="B16" s="47"/>
      <c r="C16" s="47"/>
      <c r="E16" s="50">
        <v>36708</v>
      </c>
    </row>
    <row r="17" spans="2:5" x14ac:dyDescent="0.2">
      <c r="B17" s="47"/>
      <c r="C17" s="47"/>
      <c r="E17" s="50">
        <v>36739</v>
      </c>
    </row>
    <row r="18" spans="2:5" x14ac:dyDescent="0.2">
      <c r="B18" s="47"/>
      <c r="C18" s="47"/>
      <c r="E18" s="50">
        <v>36770</v>
      </c>
    </row>
    <row r="19" spans="2:5" x14ac:dyDescent="0.2">
      <c r="C19" s="47"/>
      <c r="E19" s="50">
        <v>36800</v>
      </c>
    </row>
    <row r="20" spans="2:5" x14ac:dyDescent="0.2">
      <c r="C20" s="47"/>
      <c r="E20" s="50">
        <v>36831</v>
      </c>
    </row>
    <row r="21" spans="2:5" x14ac:dyDescent="0.2">
      <c r="E21" s="51">
        <v>36861</v>
      </c>
    </row>
    <row r="22" spans="2:5" x14ac:dyDescent="0.2">
      <c r="E22" s="4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2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41</vt:i4>
      </vt:variant>
    </vt:vector>
  </HeadingPairs>
  <TitlesOfParts>
    <vt:vector size="47" baseType="lpstr">
      <vt:lpstr>Settings</vt:lpstr>
      <vt:lpstr>Budget Planning</vt:lpstr>
      <vt:lpstr>Budget Tracking</vt:lpstr>
      <vt:lpstr>Budget Dashboard</vt:lpstr>
      <vt:lpstr>Calculations</vt:lpstr>
      <vt:lpstr>Drop-down Data</vt:lpstr>
      <vt:lpstr>'Budget Dashboard'!budget</vt:lpstr>
      <vt:lpstr>'Budget Dashboard'!budget_range</vt:lpstr>
      <vt:lpstr>'Budget Dashboard'!budget_rank</vt:lpstr>
      <vt:lpstr>Calculations!cc_budget</vt:lpstr>
      <vt:lpstr>cc_delta</vt:lpstr>
      <vt:lpstr>Calculations!cc_in_focus</vt:lpstr>
      <vt:lpstr>cc_month_number</vt:lpstr>
      <vt:lpstr>Calculations!cc_show_remaining_budget</vt:lpstr>
      <vt:lpstr>Calculations!cc_show_type</vt:lpstr>
      <vt:lpstr>Calculations!cc_tracked</vt:lpstr>
      <vt:lpstr>Calculations!cc_type</vt:lpstr>
      <vt:lpstr>'Budget Dashboard'!comb_rank</vt:lpstr>
      <vt:lpstr>'Budget Dashboard'!comb_rank_norm</vt:lpstr>
      <vt:lpstr>'Budget Dashboard'!comb_rank_norm_run_range</vt:lpstr>
      <vt:lpstr>'Budget Dashboard'!comb_rank_range</vt:lpstr>
      <vt:lpstr>'Budget Dashboard'!comb_rank_unique</vt:lpstr>
      <vt:lpstr>'Budget Dashboard'!header_row_id</vt:lpstr>
      <vt:lpstr>'Budget Dashboard'!is_cat</vt:lpstr>
      <vt:lpstr>'Budget Dashboard'!is_empty</vt:lpstr>
      <vt:lpstr>'Budget Dashboard'!is_header</vt:lpstr>
      <vt:lpstr>'Budget Dashboard'!is_total</vt:lpstr>
      <vt:lpstr>'Budget Dashboard'!item</vt:lpstr>
      <vt:lpstr>'Budget Dashboard'!out_budget</vt:lpstr>
      <vt:lpstr>'Budget Dashboard'!out_percentage_completed</vt:lpstr>
      <vt:lpstr>'Budget Dashboard'!out_tracked</vt:lpstr>
      <vt:lpstr>'Budget Dashboard'!row_id</vt:lpstr>
      <vt:lpstr>'Budget Dashboard'!run_range</vt:lpstr>
      <vt:lpstr>savings_rate_calculation_type</vt:lpstr>
      <vt:lpstr>selected_period</vt:lpstr>
      <vt:lpstr>selected_period_display</vt:lpstr>
      <vt:lpstr>selected_year</vt:lpstr>
      <vt:lpstr>shift_late_income_starting_date</vt:lpstr>
      <vt:lpstr>shift_late_income_starting_day</vt:lpstr>
      <vt:lpstr>shift_late_income_status</vt:lpstr>
      <vt:lpstr>'Budget Dashboard'!sort_max_row</vt:lpstr>
      <vt:lpstr>'Budget Dashboard'!sort_min_row</vt:lpstr>
      <vt:lpstr>starting_year</vt:lpstr>
      <vt:lpstr>'Budget Dashboard'!tracked</vt:lpstr>
      <vt:lpstr>'Budget Dashboard'!tracked_range</vt:lpstr>
      <vt:lpstr>'Budget Dashboard'!tracked_rank</vt:lpstr>
      <vt:lpstr>'Budget Dashboard'!type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Rageshwary Alva</dc:creator>
  <cp:keywords/>
  <dc:description/>
  <cp:lastModifiedBy>Raj Alva</cp:lastModifiedBy>
  <cp:revision/>
  <dcterms:created xsi:type="dcterms:W3CDTF">2025-12-22T09:48:17Z</dcterms:created>
  <dcterms:modified xsi:type="dcterms:W3CDTF">2026-04-07T05:21:46Z</dcterms:modified>
  <cp:category/>
  <cp:contentStatus/>
</cp:coreProperties>
</file>